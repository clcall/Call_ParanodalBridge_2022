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wydz/Library/Mobile Documents/com~apple~CloudDocs/Postdoc/Myelin bridges/Bridges_per_cell_counts_TeNT/"/>
    </mc:Choice>
  </mc:AlternateContent>
  <xr:revisionPtr revIDLastSave="0" documentId="13_ncr:1_{20631F4B-3E53-2848-B69E-3B3D107E437A}" xr6:coauthVersionLast="47" xr6:coauthVersionMax="47" xr10:uidLastSave="{00000000-0000-0000-0000-000000000000}"/>
  <bookViews>
    <workbookView xWindow="4700" yWindow="1500" windowWidth="27240" windowHeight="16440" xr2:uid="{77994DE7-AEF0-E543-A91A-B03EA2069D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2" i="1"/>
  <c r="J17" i="1"/>
  <c r="J19" i="1"/>
  <c r="J8" i="1"/>
  <c r="J27" i="1"/>
  <c r="J26" i="1"/>
  <c r="J25" i="1"/>
  <c r="J24" i="1"/>
  <c r="J23" i="1"/>
  <c r="J22" i="1"/>
  <c r="J21" i="1"/>
  <c r="J20" i="1"/>
  <c r="J18" i="1"/>
  <c r="J16" i="1"/>
  <c r="J15" i="1"/>
  <c r="J14" i="1"/>
  <c r="J13" i="1"/>
  <c r="J12" i="1"/>
  <c r="J11" i="1"/>
  <c r="J10" i="1"/>
  <c r="J9" i="1"/>
  <c r="J7" i="1"/>
  <c r="J6" i="1"/>
  <c r="J5" i="1"/>
  <c r="J4" i="1"/>
  <c r="J29" i="1" l="1"/>
  <c r="J30" i="1"/>
</calcChain>
</file>

<file path=xl/sharedStrings.xml><?xml version="1.0" encoding="utf-8"?>
<sst xmlns="http://schemas.openxmlformats.org/spreadsheetml/2006/main" count="90" uniqueCount="41">
  <si>
    <t>Image</t>
  </si>
  <si>
    <t>Treatment</t>
  </si>
  <si>
    <t>Sphere</t>
  </si>
  <si>
    <t>PRO</t>
  </si>
  <si>
    <t>Cells_with_0</t>
  </si>
  <si>
    <t>Cells_with_1</t>
  </si>
  <si>
    <t>Cells_with_2</t>
  </si>
  <si>
    <t>Cells_with_3</t>
  </si>
  <si>
    <t>Percentage_with_bridges</t>
  </si>
  <si>
    <t>TeNT</t>
  </si>
  <si>
    <t>Ctrl</t>
  </si>
  <si>
    <t>Conv1_TeNT_Sphere_1</t>
  </si>
  <si>
    <t>Conv1_TeNT_Sphere_2</t>
  </si>
  <si>
    <t>Conv1_TeNT_Sphere_3</t>
  </si>
  <si>
    <t>Conv1_TeNT_Sphere_4</t>
  </si>
  <si>
    <t>Conv1_TeNT_Sphere_5_Sum_of_a_and_b</t>
  </si>
  <si>
    <t>Conv3_TeNT_Sphere_1</t>
  </si>
  <si>
    <t>Conv3_TeNT_Sphere_2_Sum_of_a_and_b</t>
  </si>
  <si>
    <t>Conv3_TeNT_Sphere_3</t>
  </si>
  <si>
    <t>Conv1_Ctrl_Sphere_1</t>
  </si>
  <si>
    <t>Conv1_Ctrl_Sphere_2</t>
  </si>
  <si>
    <t>Conv1_Ctrl_Sphere_3</t>
  </si>
  <si>
    <t>Conv1_Ctrl_Sphere_4</t>
  </si>
  <si>
    <t>Conv2_Ctrl_Sphere_3</t>
  </si>
  <si>
    <t>Conv2_Ctrl_Sphere_4</t>
  </si>
  <si>
    <t>Conv2_Ctrl_Sphere_1</t>
  </si>
  <si>
    <t>Conv2_Ctrl_Sphere_2_Sum_of_a_and_b</t>
  </si>
  <si>
    <t>Conv2_Ctrl_Sphere_5</t>
  </si>
  <si>
    <t>Conv2_TeNT_Sphere_1</t>
  </si>
  <si>
    <t>Conv2_TeNT_Sphere_2</t>
  </si>
  <si>
    <t>Conv2_TeNT_Sphere_3</t>
  </si>
  <si>
    <t>Conv2_TeNT_Sphere_4</t>
  </si>
  <si>
    <t>Conv3_Ctrl_Sphere_3</t>
  </si>
  <si>
    <t>Conv3_Ctrl_Sphere_4</t>
  </si>
  <si>
    <t>Conv3_Ctrl_Sphere_2</t>
  </si>
  <si>
    <t>Conv3_Ctrl_Sphere_1</t>
  </si>
  <si>
    <t>Conv_1</t>
  </si>
  <si>
    <t>Conv_2</t>
  </si>
  <si>
    <t>Conv_3</t>
  </si>
  <si>
    <t>Conv2_TeNT_Sphere_5_Sum_of_a_and_b</t>
  </si>
  <si>
    <t>Cells_counted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</si>
</sst>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98F0-A6A0-A047-9511-6B593840D4A1}">
  <dimension ref="A1:J30"/>
  <sheetViews>
    <sheetView tabSelected="1" zoomScale="94" workbookViewId="0">
      <selection activeCell="G33" sqref="G33"/>
    </sheetView>
  </sheetViews>
  <sheetFormatPr baseColWidth="10" defaultRowHeight="16" x14ac:dyDescent="0.2"/>
  <cols>
    <col min="1" max="1" width="42.33203125" customWidth="1"/>
    <col min="5" max="5" width="15.1640625" customWidth="1"/>
    <col min="6" max="6" width="12" customWidth="1"/>
    <col min="7" max="9" width="12.83203125" customWidth="1"/>
    <col min="10" max="10" width="22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11</v>
      </c>
      <c r="B2" t="s">
        <v>9</v>
      </c>
      <c r="C2">
        <v>1</v>
      </c>
      <c r="D2" s="1" t="s">
        <v>36</v>
      </c>
      <c r="E2">
        <v>8</v>
      </c>
      <c r="F2">
        <v>7</v>
      </c>
      <c r="G2">
        <v>1</v>
      </c>
      <c r="H2">
        <v>0</v>
      </c>
      <c r="I2">
        <v>0</v>
      </c>
      <c r="J2">
        <f>(SUM(G2:I2)/E2)*100</f>
        <v>12.5</v>
      </c>
    </row>
    <row r="3" spans="1:10" x14ac:dyDescent="0.2">
      <c r="A3" t="s">
        <v>12</v>
      </c>
      <c r="B3" t="s">
        <v>9</v>
      </c>
      <c r="C3">
        <v>2</v>
      </c>
      <c r="D3" s="1" t="s">
        <v>36</v>
      </c>
      <c r="E3">
        <v>5</v>
      </c>
      <c r="F3">
        <v>2</v>
      </c>
      <c r="G3">
        <v>2</v>
      </c>
      <c r="H3">
        <v>1</v>
      </c>
      <c r="I3">
        <v>0</v>
      </c>
      <c r="J3">
        <f>(SUM(G3:I3)/E3)*100</f>
        <v>60</v>
      </c>
    </row>
    <row r="4" spans="1:10" x14ac:dyDescent="0.2">
      <c r="A4" t="s">
        <v>13</v>
      </c>
      <c r="B4" t="s">
        <v>9</v>
      </c>
      <c r="C4">
        <v>3</v>
      </c>
      <c r="D4" s="1" t="s">
        <v>36</v>
      </c>
      <c r="E4">
        <v>5</v>
      </c>
      <c r="F4">
        <v>5</v>
      </c>
      <c r="G4">
        <v>0</v>
      </c>
      <c r="H4">
        <v>0</v>
      </c>
      <c r="I4">
        <v>0</v>
      </c>
      <c r="J4">
        <f>(SUM(G4:I4)/E4)*100</f>
        <v>0</v>
      </c>
    </row>
    <row r="5" spans="1:10" x14ac:dyDescent="0.2">
      <c r="A5" t="s">
        <v>14</v>
      </c>
      <c r="B5" t="s">
        <v>9</v>
      </c>
      <c r="C5">
        <v>4</v>
      </c>
      <c r="D5" s="1" t="s">
        <v>36</v>
      </c>
      <c r="E5">
        <v>5</v>
      </c>
      <c r="F5">
        <v>5</v>
      </c>
      <c r="G5">
        <v>0</v>
      </c>
      <c r="H5">
        <v>0</v>
      </c>
      <c r="I5">
        <v>0</v>
      </c>
      <c r="J5">
        <f>(SUM(G5:I5)/E5)*100</f>
        <v>0</v>
      </c>
    </row>
    <row r="6" spans="1:10" x14ac:dyDescent="0.2">
      <c r="A6" t="s">
        <v>15</v>
      </c>
      <c r="B6" t="s">
        <v>9</v>
      </c>
      <c r="C6">
        <v>5</v>
      </c>
      <c r="D6" s="1" t="s">
        <v>36</v>
      </c>
      <c r="E6">
        <v>12</v>
      </c>
      <c r="F6">
        <v>7</v>
      </c>
      <c r="G6">
        <v>4</v>
      </c>
      <c r="H6">
        <v>1</v>
      </c>
      <c r="I6">
        <v>0</v>
      </c>
      <c r="J6">
        <f>(SUM(G6:I6)/E6)*100</f>
        <v>41.666666666666671</v>
      </c>
    </row>
    <row r="7" spans="1:10" x14ac:dyDescent="0.2">
      <c r="A7" t="s">
        <v>16</v>
      </c>
      <c r="B7" t="s">
        <v>9</v>
      </c>
      <c r="C7">
        <v>1</v>
      </c>
      <c r="D7" s="2" t="s">
        <v>38</v>
      </c>
      <c r="E7">
        <v>6</v>
      </c>
      <c r="F7">
        <v>4</v>
      </c>
      <c r="G7">
        <v>0</v>
      </c>
      <c r="H7">
        <v>2</v>
      </c>
      <c r="I7">
        <v>0</v>
      </c>
      <c r="J7">
        <f>(SUM(G7:I7)/E7)*100</f>
        <v>33.333333333333329</v>
      </c>
    </row>
    <row r="8" spans="1:10" x14ac:dyDescent="0.2">
      <c r="A8" t="s">
        <v>17</v>
      </c>
      <c r="B8" t="s">
        <v>9</v>
      </c>
      <c r="C8">
        <v>2</v>
      </c>
      <c r="D8" s="2" t="s">
        <v>38</v>
      </c>
      <c r="E8">
        <v>13</v>
      </c>
      <c r="F8">
        <v>10</v>
      </c>
      <c r="G8">
        <v>3</v>
      </c>
      <c r="H8">
        <v>0</v>
      </c>
      <c r="I8">
        <v>0</v>
      </c>
      <c r="J8">
        <f>(SUM(G8:I8)/E8)*100</f>
        <v>23.076923076923077</v>
      </c>
    </row>
    <row r="9" spans="1:10" x14ac:dyDescent="0.2">
      <c r="A9" t="s">
        <v>18</v>
      </c>
      <c r="B9" t="s">
        <v>9</v>
      </c>
      <c r="C9">
        <v>3</v>
      </c>
      <c r="D9" s="2" t="s">
        <v>38</v>
      </c>
      <c r="E9">
        <v>11</v>
      </c>
      <c r="F9">
        <v>6</v>
      </c>
      <c r="G9">
        <v>5</v>
      </c>
      <c r="H9">
        <v>0</v>
      </c>
      <c r="I9">
        <v>0</v>
      </c>
      <c r="J9">
        <f>(SUM(G9:I9)/E9)*100</f>
        <v>45.454545454545453</v>
      </c>
    </row>
    <row r="10" spans="1:10" x14ac:dyDescent="0.2">
      <c r="A10" t="s">
        <v>19</v>
      </c>
      <c r="B10" t="s">
        <v>10</v>
      </c>
      <c r="C10">
        <v>1</v>
      </c>
      <c r="D10" s="1" t="s">
        <v>36</v>
      </c>
      <c r="E10">
        <v>6</v>
      </c>
      <c r="F10">
        <v>3</v>
      </c>
      <c r="G10">
        <v>3</v>
      </c>
      <c r="H10">
        <v>0</v>
      </c>
      <c r="I10">
        <v>0</v>
      </c>
      <c r="J10">
        <f>(SUM(G10:I10)/E10)*100</f>
        <v>50</v>
      </c>
    </row>
    <row r="11" spans="1:10" x14ac:dyDescent="0.2">
      <c r="A11" t="s">
        <v>20</v>
      </c>
      <c r="B11" t="s">
        <v>10</v>
      </c>
      <c r="C11">
        <v>2</v>
      </c>
      <c r="D11" s="1" t="s">
        <v>36</v>
      </c>
      <c r="E11">
        <v>12</v>
      </c>
      <c r="F11">
        <v>9</v>
      </c>
      <c r="G11">
        <v>3</v>
      </c>
      <c r="H11">
        <v>0</v>
      </c>
      <c r="I11">
        <v>0</v>
      </c>
      <c r="J11">
        <f>(SUM(G11:I11)/E11)*100</f>
        <v>25</v>
      </c>
    </row>
    <row r="12" spans="1:10" x14ac:dyDescent="0.2">
      <c r="A12" t="s">
        <v>21</v>
      </c>
      <c r="B12" t="s">
        <v>10</v>
      </c>
      <c r="C12">
        <v>3</v>
      </c>
      <c r="D12" s="1" t="s">
        <v>36</v>
      </c>
      <c r="E12">
        <v>6</v>
      </c>
      <c r="F12">
        <v>5</v>
      </c>
      <c r="G12">
        <v>1</v>
      </c>
      <c r="H12">
        <v>0</v>
      </c>
      <c r="I12">
        <v>0</v>
      </c>
      <c r="J12">
        <f>(SUM(G12:I12)/E12)*100</f>
        <v>16.666666666666664</v>
      </c>
    </row>
    <row r="13" spans="1:10" x14ac:dyDescent="0.2">
      <c r="A13" t="s">
        <v>22</v>
      </c>
      <c r="B13" t="s">
        <v>10</v>
      </c>
      <c r="C13">
        <v>4</v>
      </c>
      <c r="D13" s="1" t="s">
        <v>36</v>
      </c>
      <c r="E13">
        <v>7</v>
      </c>
      <c r="F13">
        <v>3</v>
      </c>
      <c r="G13">
        <v>2</v>
      </c>
      <c r="H13">
        <v>2</v>
      </c>
      <c r="I13">
        <v>0</v>
      </c>
      <c r="J13">
        <f>(SUM(G13:I13)/E13)*100</f>
        <v>57.142857142857139</v>
      </c>
    </row>
    <row r="14" spans="1:10" x14ac:dyDescent="0.2">
      <c r="A14" t="s">
        <v>32</v>
      </c>
      <c r="B14" t="s">
        <v>10</v>
      </c>
      <c r="C14">
        <v>3</v>
      </c>
      <c r="D14" s="2" t="s">
        <v>38</v>
      </c>
      <c r="E14">
        <v>8</v>
      </c>
      <c r="F14">
        <v>5</v>
      </c>
      <c r="G14">
        <v>3</v>
      </c>
      <c r="H14">
        <v>0</v>
      </c>
      <c r="I14">
        <v>0</v>
      </c>
      <c r="J14">
        <f>(SUM(G14:I14)/E14)*100</f>
        <v>37.5</v>
      </c>
    </row>
    <row r="15" spans="1:10" x14ac:dyDescent="0.2">
      <c r="A15" t="s">
        <v>33</v>
      </c>
      <c r="B15" t="s">
        <v>10</v>
      </c>
      <c r="C15">
        <v>4</v>
      </c>
      <c r="D15" s="2" t="s">
        <v>38</v>
      </c>
      <c r="E15">
        <v>7</v>
      </c>
      <c r="F15">
        <v>5</v>
      </c>
      <c r="G15">
        <v>2</v>
      </c>
      <c r="H15">
        <v>0</v>
      </c>
      <c r="I15">
        <v>0</v>
      </c>
      <c r="J15">
        <f>(SUM(G15:I15)/E15)*100</f>
        <v>28.571428571428569</v>
      </c>
    </row>
    <row r="16" spans="1:10" x14ac:dyDescent="0.2">
      <c r="A16" t="s">
        <v>34</v>
      </c>
      <c r="B16" t="s">
        <v>10</v>
      </c>
      <c r="C16">
        <v>2</v>
      </c>
      <c r="D16" s="2" t="s">
        <v>38</v>
      </c>
      <c r="E16">
        <v>8</v>
      </c>
      <c r="F16">
        <v>6</v>
      </c>
      <c r="G16">
        <v>2</v>
      </c>
      <c r="H16">
        <v>0</v>
      </c>
      <c r="I16">
        <v>0</v>
      </c>
      <c r="J16">
        <f>(SUM(G16:I16)/E16)*100</f>
        <v>25</v>
      </c>
    </row>
    <row r="17" spans="1:10" x14ac:dyDescent="0.2">
      <c r="A17" t="s">
        <v>35</v>
      </c>
      <c r="B17" t="s">
        <v>10</v>
      </c>
      <c r="C17">
        <v>1</v>
      </c>
      <c r="D17" s="2" t="s">
        <v>38</v>
      </c>
      <c r="E17">
        <v>14</v>
      </c>
      <c r="F17">
        <v>9</v>
      </c>
      <c r="G17">
        <v>3</v>
      </c>
      <c r="H17">
        <v>2</v>
      </c>
      <c r="I17">
        <v>0</v>
      </c>
      <c r="J17">
        <f>(SUM(G17:I17)/E17)*100</f>
        <v>35.714285714285715</v>
      </c>
    </row>
    <row r="18" spans="1:10" x14ac:dyDescent="0.2">
      <c r="A18" t="s">
        <v>25</v>
      </c>
      <c r="B18" t="s">
        <v>10</v>
      </c>
      <c r="C18">
        <v>1</v>
      </c>
      <c r="D18" s="2" t="s">
        <v>37</v>
      </c>
      <c r="E18">
        <v>6</v>
      </c>
      <c r="F18">
        <v>5</v>
      </c>
      <c r="G18">
        <v>1</v>
      </c>
      <c r="H18">
        <v>0</v>
      </c>
      <c r="I18">
        <v>0</v>
      </c>
      <c r="J18">
        <f>(SUM(G18:I18)/E18)*100</f>
        <v>16.666666666666664</v>
      </c>
    </row>
    <row r="19" spans="1:10" x14ac:dyDescent="0.2">
      <c r="A19" t="s">
        <v>26</v>
      </c>
      <c r="B19" t="s">
        <v>10</v>
      </c>
      <c r="C19">
        <v>2</v>
      </c>
      <c r="D19" s="2" t="s">
        <v>37</v>
      </c>
      <c r="E19">
        <v>7</v>
      </c>
      <c r="F19">
        <v>4</v>
      </c>
      <c r="G19">
        <v>1</v>
      </c>
      <c r="H19">
        <v>2</v>
      </c>
      <c r="I19">
        <v>0</v>
      </c>
      <c r="J19">
        <f>(SUM(G19:I19)/E19)*100</f>
        <v>42.857142857142854</v>
      </c>
    </row>
    <row r="20" spans="1:10" x14ac:dyDescent="0.2">
      <c r="A20" t="s">
        <v>23</v>
      </c>
      <c r="B20" t="s">
        <v>10</v>
      </c>
      <c r="C20">
        <v>3</v>
      </c>
      <c r="D20" s="2" t="s">
        <v>37</v>
      </c>
      <c r="E20">
        <v>4</v>
      </c>
      <c r="F20">
        <v>3</v>
      </c>
      <c r="G20">
        <v>1</v>
      </c>
      <c r="H20">
        <v>0</v>
      </c>
      <c r="I20">
        <v>0</v>
      </c>
      <c r="J20">
        <f>(SUM(G20:I20)/E20)*100</f>
        <v>25</v>
      </c>
    </row>
    <row r="21" spans="1:10" x14ac:dyDescent="0.2">
      <c r="A21" t="s">
        <v>24</v>
      </c>
      <c r="B21" t="s">
        <v>10</v>
      </c>
      <c r="C21">
        <v>4</v>
      </c>
      <c r="D21" s="2" t="s">
        <v>37</v>
      </c>
      <c r="E21">
        <v>9</v>
      </c>
      <c r="F21">
        <v>8</v>
      </c>
      <c r="G21">
        <v>1</v>
      </c>
      <c r="H21">
        <v>0</v>
      </c>
      <c r="I21">
        <v>0</v>
      </c>
      <c r="J21">
        <f>(SUM(G21:I21)/E21)*100</f>
        <v>11.111111111111111</v>
      </c>
    </row>
    <row r="22" spans="1:10" x14ac:dyDescent="0.2">
      <c r="A22" t="s">
        <v>27</v>
      </c>
      <c r="B22" t="s">
        <v>10</v>
      </c>
      <c r="C22">
        <v>5</v>
      </c>
      <c r="D22" s="2" t="s">
        <v>37</v>
      </c>
      <c r="E22">
        <v>9</v>
      </c>
      <c r="F22">
        <v>5</v>
      </c>
      <c r="G22">
        <v>2</v>
      </c>
      <c r="H22">
        <v>2</v>
      </c>
      <c r="I22">
        <v>0</v>
      </c>
      <c r="J22">
        <f>(SUM(G22:I22)/E22)*100</f>
        <v>44.444444444444443</v>
      </c>
    </row>
    <row r="23" spans="1:10" x14ac:dyDescent="0.2">
      <c r="A23" t="s">
        <v>28</v>
      </c>
      <c r="B23" t="s">
        <v>9</v>
      </c>
      <c r="C23">
        <v>1</v>
      </c>
      <c r="D23" s="2" t="s">
        <v>37</v>
      </c>
      <c r="E23">
        <v>5</v>
      </c>
      <c r="F23">
        <v>3</v>
      </c>
      <c r="G23">
        <v>2</v>
      </c>
      <c r="H23">
        <v>0</v>
      </c>
      <c r="I23">
        <v>0</v>
      </c>
      <c r="J23">
        <f>(SUM(G23:I23)/E23)*100</f>
        <v>40</v>
      </c>
    </row>
    <row r="24" spans="1:10" x14ac:dyDescent="0.2">
      <c r="A24" t="s">
        <v>29</v>
      </c>
      <c r="B24" t="s">
        <v>9</v>
      </c>
      <c r="C24">
        <v>2</v>
      </c>
      <c r="D24" s="2" t="s">
        <v>37</v>
      </c>
      <c r="E24">
        <v>2</v>
      </c>
      <c r="F24">
        <v>2</v>
      </c>
      <c r="G24">
        <v>0</v>
      </c>
      <c r="H24">
        <v>0</v>
      </c>
      <c r="I24">
        <v>0</v>
      </c>
      <c r="J24">
        <f>(SUM(G24:I24)/E24)*100</f>
        <v>0</v>
      </c>
    </row>
    <row r="25" spans="1:10" x14ac:dyDescent="0.2">
      <c r="A25" t="s">
        <v>30</v>
      </c>
      <c r="B25" t="s">
        <v>9</v>
      </c>
      <c r="C25">
        <v>3</v>
      </c>
      <c r="D25" s="2" t="s">
        <v>37</v>
      </c>
      <c r="E25">
        <v>7</v>
      </c>
      <c r="F25">
        <v>5</v>
      </c>
      <c r="G25">
        <v>2</v>
      </c>
      <c r="H25">
        <v>0</v>
      </c>
      <c r="I25">
        <v>0</v>
      </c>
      <c r="J25">
        <f>(SUM(G25:I25)/E25)*100</f>
        <v>28.571428571428569</v>
      </c>
    </row>
    <row r="26" spans="1:10" x14ac:dyDescent="0.2">
      <c r="A26" t="s">
        <v>31</v>
      </c>
      <c r="B26" t="s">
        <v>9</v>
      </c>
      <c r="C26">
        <v>4</v>
      </c>
      <c r="D26" s="2" t="s">
        <v>37</v>
      </c>
      <c r="E26">
        <v>12</v>
      </c>
      <c r="F26">
        <v>7</v>
      </c>
      <c r="G26">
        <v>5</v>
      </c>
      <c r="H26">
        <v>0</v>
      </c>
      <c r="I26">
        <v>0</v>
      </c>
      <c r="J26">
        <f>(SUM(G26:I26)/E26)*100</f>
        <v>41.666666666666671</v>
      </c>
    </row>
    <row r="27" spans="1:10" x14ac:dyDescent="0.2">
      <c r="A27" t="s">
        <v>39</v>
      </c>
      <c r="B27" t="s">
        <v>9</v>
      </c>
      <c r="C27">
        <v>5</v>
      </c>
      <c r="D27" s="2" t="s">
        <v>37</v>
      </c>
      <c r="E27">
        <v>3</v>
      </c>
      <c r="F27">
        <v>2</v>
      </c>
      <c r="G27">
        <v>1</v>
      </c>
      <c r="H27">
        <v>0</v>
      </c>
      <c r="I27">
        <v>0</v>
      </c>
      <c r="J27">
        <f>(SUM(G27:I27)/E27)*100</f>
        <v>33.333333333333329</v>
      </c>
    </row>
    <row r="29" spans="1:10" x14ac:dyDescent="0.2">
      <c r="I29" t="s">
        <v>10</v>
      </c>
      <c r="J29">
        <f>AVERAGE(J10:J22)</f>
        <v>31.974969474969473</v>
      </c>
    </row>
    <row r="30" spans="1:10" x14ac:dyDescent="0.2">
      <c r="I30" t="s">
        <v>9</v>
      </c>
      <c r="J30">
        <f>AVERAGE(J2:J9,J23:J27)</f>
        <v>27.661761315607468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Owen Gwydion</dc:creator>
  <cp:lastModifiedBy>JAMES Owen Gwydion</cp:lastModifiedBy>
  <dcterms:created xsi:type="dcterms:W3CDTF">2022-06-16T10:12:36Z</dcterms:created>
  <dcterms:modified xsi:type="dcterms:W3CDTF">2022-06-17T16:16:40Z</dcterms:modified>
</cp:coreProperties>
</file>