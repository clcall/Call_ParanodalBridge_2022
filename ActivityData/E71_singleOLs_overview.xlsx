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JILL'S LAB DATA\Tissue Repair PhD\BoNT-B\E71 - BoNT-B mRNA single OLs\"/>
    </mc:Choice>
  </mc:AlternateContent>
  <bookViews>
    <workbookView xWindow="0" yWindow="0" windowWidth="23970" windowHeight="8858"/>
  </bookViews>
  <sheets>
    <sheet name="Sheet1" sheetId="1" r:id="rId1"/>
  </sheets>
  <externalReferences>
    <externalReference r:id="rId2"/>
  </externalReferenc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46" i="1" l="1"/>
</calcChain>
</file>

<file path=xl/sharedStrings.xml><?xml version="1.0" encoding="utf-8"?>
<sst xmlns="http://schemas.openxmlformats.org/spreadsheetml/2006/main" count="270" uniqueCount="171">
  <si>
    <t>00000000_2.tif</t>
  </si>
  <si>
    <t>0000004_31.tif</t>
  </si>
  <si>
    <t>00000006_6.tif</t>
  </si>
  <si>
    <t>0000006_14.tif</t>
  </si>
  <si>
    <t>0000006_17.tif</t>
  </si>
  <si>
    <t>0000007_11.tif</t>
  </si>
  <si>
    <t>0000007_27.tif</t>
  </si>
  <si>
    <t>0000008_15.tif</t>
  </si>
  <si>
    <t>00000009_3.tif</t>
  </si>
  <si>
    <t>0000009_18.tif</t>
  </si>
  <si>
    <t>0000009_29.tif</t>
  </si>
  <si>
    <t>0000012_32.tif</t>
  </si>
  <si>
    <t>0000015_12.tif</t>
  </si>
  <si>
    <t>0000015_19.tif</t>
  </si>
  <si>
    <t>0000015_25.tif</t>
  </si>
  <si>
    <t>00000016_4.tif</t>
  </si>
  <si>
    <t>00000017_7.tif</t>
  </si>
  <si>
    <t>0000018_21.tif</t>
  </si>
  <si>
    <t>0000018_26.tif</t>
  </si>
  <si>
    <t>0000020_16.tif</t>
  </si>
  <si>
    <t>00000021_1.tif</t>
  </si>
  <si>
    <t>00000021_8.tif</t>
  </si>
  <si>
    <t>0000022_23.tif</t>
  </si>
  <si>
    <t>0000024_30.tif</t>
  </si>
  <si>
    <t>0000026_10.tif</t>
  </si>
  <si>
    <t>0000029_13.tif</t>
  </si>
  <si>
    <t>0000029_22.tif</t>
  </si>
  <si>
    <t>0000029_24.tif</t>
  </si>
  <si>
    <t>0000029_28.tif</t>
  </si>
  <si>
    <t>00000031_5.tif</t>
  </si>
  <si>
    <t>00000031_9.tif</t>
  </si>
  <si>
    <t>0000031_20.tif</t>
  </si>
  <si>
    <t>Randomised ID</t>
  </si>
  <si>
    <t>Filename</t>
  </si>
  <si>
    <t>Location</t>
  </si>
  <si>
    <t>Cell body</t>
  </si>
  <si>
    <t># sheaths</t>
  </si>
  <si>
    <t>Mean sheath length</t>
  </si>
  <si>
    <t>Ovoid</t>
  </si>
  <si>
    <t>Notes</t>
  </si>
  <si>
    <t>Cannot distinguish back sheaths</t>
  </si>
  <si>
    <t>Contains mauthner sheath</t>
  </si>
  <si>
    <t>Multiple cells, cannot determine #/distinguish</t>
  </si>
  <si>
    <t>Image seems distorted?</t>
  </si>
  <si>
    <t>Spherical</t>
  </si>
  <si>
    <t>Cell moves in imaging</t>
  </si>
  <si>
    <t>Cannot distinguish sheaths</t>
  </si>
  <si>
    <t>Cell moves, cannot distinguish sheaths</t>
  </si>
  <si>
    <t>2 cells in image</t>
  </si>
  <si>
    <t>Several sheaths unmeasurable as projecting out along motor axon</t>
  </si>
  <si>
    <t>Too many overlapping sheaths to distinguish</t>
  </si>
  <si>
    <t>Image looks distorted</t>
  </si>
  <si>
    <t>Can't tell if 1 or 2 cells</t>
  </si>
  <si>
    <t>Cannot distinguish sheaths (too many)</t>
  </si>
  <si>
    <t>E71_4dpf_100pg_11_ventral.tif</t>
  </si>
  <si>
    <t>E71_4dpf_ctrl_8_dorsal.tif</t>
  </si>
  <si>
    <t>E71_4dpf_100pg_15_ventral.tif</t>
  </si>
  <si>
    <t>E71_4dpf_100pg_7_ventral.tif</t>
  </si>
  <si>
    <t>E71_4dpf_100pg_9(2)_dorsal.tif</t>
  </si>
  <si>
    <t>E71_4dpf_100pg_4_ventral.tif</t>
  </si>
  <si>
    <t>E71_4dpf_ctrl_5(1)_dorsal.tif</t>
  </si>
  <si>
    <t>E71_4dpf_100pg_8_dorsal.tif</t>
  </si>
  <si>
    <t>E71_4dpf_100pg_12_dorsal.tif</t>
  </si>
  <si>
    <t>E71_4dpf_ctrl_10_dorsal.tif</t>
  </si>
  <si>
    <t>E71_4dpf_ctrl_6_ventral.tif</t>
  </si>
  <si>
    <t>E71_4dpf_ctrl_9_dorsal.tif</t>
  </si>
  <si>
    <t>E71_4dpf_100pg_5_dorsal.tif</t>
  </si>
  <si>
    <t>E71_4dpf_ctrl_11_dorsal.tif</t>
  </si>
  <si>
    <t>E71_4dpf_ctrl_3_ventral.tif</t>
  </si>
  <si>
    <t>E71_4dpf_100pg_13_dorsal.tif</t>
  </si>
  <si>
    <t>E71_4dpf_100pg_16_dorsal.tif</t>
  </si>
  <si>
    <t>E71_4dpf_ctrl_13_ventral.tif</t>
  </si>
  <si>
    <t>E71_4dpf_ctrl_4_ventral.tif</t>
  </si>
  <si>
    <t>E71_4dpf_100pg_9(1)_dorsal.tif</t>
  </si>
  <si>
    <t>E71_4dpf_100pg_10_dorsal.tif</t>
  </si>
  <si>
    <t>E71_4dpf_100pg_1_dorsal.tif</t>
  </si>
  <si>
    <t>E71_4dpf_ctrl_1_ventral.tif</t>
  </si>
  <si>
    <t>E71_4dpf_ctrl_7_dorsal.tif</t>
  </si>
  <si>
    <t>E71_4dpf_100pg_3_dorsal.tif</t>
  </si>
  <si>
    <t>E71_4dpf_100pg_6_dorsal.tif</t>
  </si>
  <si>
    <t>E71_4dpf_ctrl_14_ventral.tif</t>
  </si>
  <si>
    <t>E71_4dpf_ctrl_2_ventral.tif</t>
  </si>
  <si>
    <t>E71_4dpf_ctrl_5(2)_dorsal.tif</t>
  </si>
  <si>
    <t>E71_4dpf_100pg_14_dorsal.tif</t>
  </si>
  <si>
    <t>E71_4dpf_100pg_2_dorsal.tif</t>
  </si>
  <si>
    <t>E71_4dpf_ctrl_12_dorsal.tif</t>
  </si>
  <si>
    <t>Dorsal</t>
  </si>
  <si>
    <t>Ventral</t>
  </si>
  <si>
    <t>00000000_4.tif</t>
  </si>
  <si>
    <t>0000002_11.tif</t>
  </si>
  <si>
    <t>0000002_13.tif</t>
  </si>
  <si>
    <t>0000003_10.tif</t>
  </si>
  <si>
    <t>0000003_16.tif</t>
  </si>
  <si>
    <t>00000006_7.tif</t>
  </si>
  <si>
    <t>0000006_12.tif</t>
  </si>
  <si>
    <t>00000007_5.tif</t>
  </si>
  <si>
    <t>00000008_9.tif</t>
  </si>
  <si>
    <t>00000010_3.tif</t>
  </si>
  <si>
    <t>00000010_8.tif</t>
  </si>
  <si>
    <t>00000012_1.tif</t>
  </si>
  <si>
    <t>0000013_14.tif</t>
  </si>
  <si>
    <t>0000013_15.tif</t>
  </si>
  <si>
    <t>00000014_6.tif</t>
  </si>
  <si>
    <t>00000015_2.tif</t>
  </si>
  <si>
    <t>ovoid</t>
  </si>
  <si>
    <t>spherical</t>
  </si>
  <si>
    <t>Cant dstinguish sheaths</t>
  </si>
  <si>
    <t>E71_4dpf_100pg_20_ventral.tif</t>
  </si>
  <si>
    <t>E71_4dpf_ctrl_17_dorsal.tif</t>
  </si>
  <si>
    <t>E71_4dpf_ctrl_19_dorsal.tif</t>
  </si>
  <si>
    <t>E71_4dpf_ctrl_16_ventral.tif</t>
  </si>
  <si>
    <t>E71_4dpf_ctrl_22_dorsal.tif</t>
  </si>
  <si>
    <t>E71_4dpf_100pg_23_dorsal.tif</t>
  </si>
  <si>
    <t>E71_4dpf_ctrl_18_dorsal.tif</t>
  </si>
  <si>
    <t>E71_4dpf_100pg_21_ventral.tif</t>
  </si>
  <si>
    <t>E71_4dpf_ctrl_15_dorsal.tif</t>
  </si>
  <si>
    <t>E71_4dpf_100pg_19_ventral.tif</t>
  </si>
  <si>
    <t>E71_4dpf_100pg_24_dorsal.tif</t>
  </si>
  <si>
    <t>E71_4dpf_100pg_17_dorsal.tif</t>
  </si>
  <si>
    <t>E71_4dpf_ctrl_20_ventral.tif</t>
  </si>
  <si>
    <t>E71_4dpf_ctrl_21_dorsal.tif</t>
  </si>
  <si>
    <t>E71_4dpf_100pg_22_dorsal.tif</t>
  </si>
  <si>
    <t>E71_4dpf_100pg_18_ventral.tif</t>
  </si>
  <si>
    <t>dorsal</t>
  </si>
  <si>
    <t>ventral</t>
  </si>
  <si>
    <t>Total sheath length</t>
  </si>
  <si>
    <t>0000000_14.tif</t>
  </si>
  <si>
    <t>0000001_18.tif</t>
  </si>
  <si>
    <t>00000003_8.tif</t>
  </si>
  <si>
    <t>00000006_1.tif</t>
  </si>
  <si>
    <t>00000006_3.tif</t>
  </si>
  <si>
    <t>0000006_10.tif</t>
  </si>
  <si>
    <t>0000006_19.tif</t>
  </si>
  <si>
    <t>00000007_4.tif</t>
  </si>
  <si>
    <t>00000007_6.tif</t>
  </si>
  <si>
    <t>0000010_21.tif</t>
  </si>
  <si>
    <t>00000012_5.tif</t>
  </si>
  <si>
    <t>00000013_2.tif</t>
  </si>
  <si>
    <t>00000013_9.tif</t>
  </si>
  <si>
    <t>0000013_11.tif</t>
  </si>
  <si>
    <t>0000014_15.tif</t>
  </si>
  <si>
    <t>0000015_17.tif</t>
  </si>
  <si>
    <t>0000016_16.tif</t>
  </si>
  <si>
    <t>0000019_12.tif</t>
  </si>
  <si>
    <t>0000020_13.tif</t>
  </si>
  <si>
    <t>0000020_20.tif</t>
  </si>
  <si>
    <t>Unhealthy looking</t>
  </si>
  <si>
    <t>Indistingushable sheaths</t>
  </si>
  <si>
    <t>some sheaths indistinguihsable</t>
  </si>
  <si>
    <t>sheaths indistingushable</t>
  </si>
  <si>
    <t>E71_4dpf_ctrl_32_ventral.tif</t>
  </si>
  <si>
    <t>E71_4dpf_ctrl_36_dorsal.tif</t>
  </si>
  <si>
    <t>E71_4dpf_100pg_32_dorsal.tif</t>
  </si>
  <si>
    <t>E71_4dpf_100pg_25_ventral.tif</t>
  </si>
  <si>
    <t>E71_4dpf_100pg_27_dorsal.tif</t>
  </si>
  <si>
    <t>E71_4dpf_ctrl_28_dorsal.tif</t>
  </si>
  <si>
    <t>E71_4dpf_ctrl_37_ventral.tif</t>
  </si>
  <si>
    <t>E71_4dpf_100pg_28_dorsal.tif</t>
  </si>
  <si>
    <t>E71_4dpf_100pg_30_ventral.tif</t>
  </si>
  <si>
    <t>E71_4dpf_ctrl_39_ventral.tif</t>
  </si>
  <si>
    <t>E71_4dpf_100pg_29_ventral.tif</t>
  </si>
  <si>
    <t>E71_4dpf_100pg_26_dorsal.tif</t>
  </si>
  <si>
    <t>E71_4dpf_ctrl_27_dorsal.tif</t>
  </si>
  <si>
    <t>E71_4dpf_ctrl_29_dorsal.tif</t>
  </si>
  <si>
    <t>E71_4dpf_ctrl_33_ventral.tif</t>
  </si>
  <si>
    <t>E71_4dpf_ctrl_35_ventral.tif</t>
  </si>
  <si>
    <t>E71_4dpf_ctrl_34_ventral.tif</t>
  </si>
  <si>
    <t>E71_4dpf_100pg_31_ventral.tif</t>
  </si>
  <si>
    <t>E71_4dpf_ctrl_30_dorsal.tif</t>
  </si>
  <si>
    <t>E71_4dpf_ctrl_31_dorsal.tif</t>
  </si>
  <si>
    <t>E71_4dpf_ctrl_38_ventral.tif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</si>
</sst>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7" xfId="0" applyBorder="1"/>
    <xf numFmtId="0" fontId="0" fillId="2" borderId="1" xfId="0" applyFill="1" applyBorder="1"/>
    <xf numFmtId="0" fontId="0" fillId="2" borderId="8" xfId="0" applyFill="1" applyBorder="1"/>
    <xf numFmtId="0" fontId="0" fillId="0" borderId="0" xfId="0" applyBorder="1"/>
    <xf numFmtId="0" fontId="0" fillId="2" borderId="0" xfId="0" applyFill="1" applyBorder="1"/>
    <xf numFmtId="0" fontId="0" fillId="3" borderId="0" xfId="0" applyFill="1"/>
    <xf numFmtId="0" fontId="0" fillId="0" borderId="1" xfId="0" applyFill="1" applyBorder="1"/>
    <xf numFmtId="0" fontId="0" fillId="0" borderId="9" xfId="0" applyBorder="1"/>
    <xf numFmtId="0" fontId="0" fillId="2" borderId="0" xfId="0" applyFill="1"/>
    <xf numFmtId="0" fontId="0" fillId="0" borderId="1" xfId="0" applyBorder="1"/>
    <xf numFmtId="0" fontId="0" fillId="0" borderId="0" xfId="0" applyFill="1" applyBorder="1"/>
    <xf numFmtId="0" fontId="0" fillId="0" borderId="0" xfId="0"/>
    <xf numFmtId="0" fontId="0" fillId="0" borderId="1" xfId="0" applyBorder="1"/>
    <xf numFmtId="0" fontId="0" fillId="0" borderId="8" xfId="0" applyBorder="1"/>
    <xf numFmtId="0" fontId="0" fillId="0" borderId="0" xfId="0" applyBorder="1"/>
    <xf numFmtId="0" fontId="0" fillId="0" borderId="3" xfId="0" applyBorder="1"/>
    <xf numFmtId="0" fontId="1" fillId="0" borderId="1" xfId="0" applyFont="1" applyBorder="1"/>
    <xf numFmtId="0" fontId="2" fillId="2" borderId="0" xfId="0" applyFont="1" applyFill="1"/>
    <xf numFmtId="0" fontId="2" fillId="2" borderId="1" xfId="0" applyFont="1" applyFill="1" applyBorder="1"/>
    <xf numFmtId="0" fontId="0" fillId="2" borderId="3" xfId="0" applyFill="1" applyBorder="1"/>
    <xf numFmtId="0" fontId="2" fillId="2" borderId="3" xfId="0" applyFont="1" applyFill="1" applyBorder="1"/>
    <xf numFmtId="0" fontId="0" fillId="0" borderId="4" xfId="0" applyBorder="1"/>
    <xf numFmtId="0" fontId="1" fillId="0" borderId="0" xfId="0" applyFont="1" applyBorder="1"/>
    <xf numFmtId="0" fontId="0" fillId="0" borderId="5" xfId="0" applyBorder="1"/>
    <xf numFmtId="0" fontId="0" fillId="3" borderId="1" xfId="0" applyFill="1" applyBorder="1"/>
    <xf numFmtId="0" fontId="0" fillId="0" borderId="6" xfId="0" applyBorder="1"/>
    <xf numFmtId="0" fontId="0" fillId="3" borderId="3" xfId="0" applyFill="1" applyBorder="1"/>
    <xf numFmtId="0" fontId="1" fillId="0" borderId="3" xfId="0" applyFont="1" applyBorder="1"/>
    <xf numFmtId="0" fontId="0" fillId="0" borderId="10" xfId="0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71_singleOLs_measurements_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_4"/>
      <sheetName val="2_11"/>
      <sheetName val="2_13"/>
      <sheetName val="3_10"/>
      <sheetName val="3_16"/>
      <sheetName val="6_7"/>
      <sheetName val="6_12"/>
      <sheetName val="7_5"/>
      <sheetName val="8_9"/>
      <sheetName val="10_3"/>
      <sheetName val="10_8"/>
      <sheetName val="12_1"/>
      <sheetName val="13_14"/>
      <sheetName val="13_15"/>
      <sheetName val="14_6"/>
      <sheetName val="15_2"/>
    </sheetNames>
    <sheetDataSet>
      <sheetData sheetId="0" refreshError="1"/>
      <sheetData sheetId="1" refreshError="1"/>
      <sheetData sheetId="2" refreshError="1"/>
      <sheetData sheetId="3">
        <row r="2">
          <cell r="B2">
            <v>25.088999999999999</v>
          </cell>
        </row>
        <row r="3">
          <cell r="B3">
            <v>45.529000000000003</v>
          </cell>
        </row>
        <row r="4">
          <cell r="B4">
            <v>42.683999999999997</v>
          </cell>
        </row>
        <row r="5">
          <cell r="B5">
            <v>31.016999999999999</v>
          </cell>
        </row>
        <row r="6">
          <cell r="B6">
            <v>13.234999999999999</v>
          </cell>
        </row>
        <row r="7">
          <cell r="B7">
            <v>3.1480000000000001</v>
          </cell>
        </row>
        <row r="8">
          <cell r="B8">
            <v>9.6</v>
          </cell>
        </row>
        <row r="9">
          <cell r="B9">
            <v>30.491</v>
          </cell>
        </row>
        <row r="10">
          <cell r="B10">
            <v>24.448</v>
          </cell>
        </row>
        <row r="11">
          <cell r="B11">
            <v>30.978999999999999</v>
          </cell>
        </row>
        <row r="12">
          <cell r="B12">
            <v>38.465000000000003</v>
          </cell>
        </row>
        <row r="13">
          <cell r="B13">
            <v>16.245000000000001</v>
          </cell>
        </row>
        <row r="14">
          <cell r="B14">
            <v>35.798000000000002</v>
          </cell>
        </row>
        <row r="15">
          <cell r="B15">
            <v>18.192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3"/>
  <sheetViews>
    <sheetView tabSelected="1" workbookViewId="0">
      <selection activeCell="G15" sqref="G15:G29"/>
    </sheetView>
  </sheetViews>
  <sheetFormatPr defaultRowHeight="14.25" x14ac:dyDescent="0.45"/>
  <cols>
    <col min="1" max="1" width="29.59765625" customWidth="1"/>
    <col min="2" max="2" width="20.1328125" customWidth="1"/>
    <col min="3" max="3" width="18" customWidth="1"/>
    <col min="4" max="4" width="16.9296875" customWidth="1"/>
    <col min="5" max="5" width="18.06640625" customWidth="1"/>
    <col min="6" max="7" width="21.46484375" customWidth="1"/>
    <col min="8" max="8" width="52.9296875" customWidth="1"/>
    <col min="9" max="9" width="41.1328125" customWidth="1"/>
  </cols>
  <sheetData>
    <row r="1" spans="1:8" ht="14.65" thickBot="1" x14ac:dyDescent="0.5"/>
    <row r="2" spans="1:8" s="1" customFormat="1" ht="14.65" thickBot="1" x14ac:dyDescent="0.5">
      <c r="A2" s="24" t="s">
        <v>74</v>
      </c>
      <c r="B2" s="26" t="s">
        <v>20</v>
      </c>
      <c r="C2" s="26" t="s">
        <v>86</v>
      </c>
      <c r="D2" s="26" t="s">
        <v>38</v>
      </c>
      <c r="E2" s="26">
        <v>15</v>
      </c>
      <c r="F2" s="28">
        <v>28.470600000000005</v>
      </c>
      <c r="G2" s="31">
        <v>427.05900000000008</v>
      </c>
      <c r="H2" s="32"/>
    </row>
    <row r="3" spans="1:8" x14ac:dyDescent="0.45">
      <c r="A3" t="s">
        <v>69</v>
      </c>
      <c r="B3" s="18" t="s">
        <v>15</v>
      </c>
      <c r="C3" s="18" t="s">
        <v>86</v>
      </c>
      <c r="D3" s="18" t="s">
        <v>38</v>
      </c>
      <c r="E3" s="18">
        <v>13</v>
      </c>
      <c r="F3" s="3">
        <v>21.001846153846152</v>
      </c>
      <c r="G3" s="3">
        <v>273.024</v>
      </c>
      <c r="H3" s="18"/>
    </row>
    <row r="4" spans="1:8" x14ac:dyDescent="0.45">
      <c r="A4" t="s">
        <v>70</v>
      </c>
      <c r="B4" s="15" t="s">
        <v>16</v>
      </c>
      <c r="C4" s="15" t="s">
        <v>86</v>
      </c>
      <c r="D4" s="15" t="s">
        <v>38</v>
      </c>
      <c r="E4" s="15">
        <v>16</v>
      </c>
      <c r="F4" s="16">
        <v>23.92625</v>
      </c>
      <c r="G4" s="16">
        <v>382.82</v>
      </c>
      <c r="H4" s="15"/>
    </row>
    <row r="5" spans="1:8" x14ac:dyDescent="0.45">
      <c r="A5" t="s">
        <v>118</v>
      </c>
      <c r="B5" s="2" t="s">
        <v>99</v>
      </c>
      <c r="C5" s="2" t="s">
        <v>123</v>
      </c>
      <c r="D5" s="2" t="s">
        <v>38</v>
      </c>
      <c r="E5" s="15">
        <v>6</v>
      </c>
      <c r="F5" s="3">
        <v>50.744833333333332</v>
      </c>
      <c r="G5" s="3">
        <v>304.46899999999999</v>
      </c>
      <c r="H5" s="2"/>
    </row>
    <row r="6" spans="1:8" x14ac:dyDescent="0.45">
      <c r="A6" t="s">
        <v>84</v>
      </c>
      <c r="B6" s="2" t="s">
        <v>30</v>
      </c>
      <c r="C6" s="2" t="s">
        <v>86</v>
      </c>
      <c r="D6" s="2" t="s">
        <v>38</v>
      </c>
      <c r="E6" s="17">
        <v>8</v>
      </c>
      <c r="F6" s="3">
        <v>34.396999999999998</v>
      </c>
      <c r="G6" s="3">
        <v>275.17599999999999</v>
      </c>
      <c r="H6" s="2"/>
    </row>
    <row r="7" spans="1:8" x14ac:dyDescent="0.45">
      <c r="A7" t="s">
        <v>112</v>
      </c>
      <c r="B7" s="2" t="s">
        <v>93</v>
      </c>
      <c r="C7" s="2" t="s">
        <v>123</v>
      </c>
      <c r="D7" s="2" t="s">
        <v>38</v>
      </c>
      <c r="E7" s="15">
        <v>12</v>
      </c>
      <c r="F7" s="16">
        <v>33.64458333333333</v>
      </c>
      <c r="G7" s="16">
        <v>403.73499999999996</v>
      </c>
      <c r="H7" s="2"/>
    </row>
    <row r="8" spans="1:8" x14ac:dyDescent="0.45">
      <c r="A8" t="s">
        <v>117</v>
      </c>
      <c r="B8" s="2" t="s">
        <v>98</v>
      </c>
      <c r="C8" s="2" t="s">
        <v>123</v>
      </c>
      <c r="D8" s="2" t="s">
        <v>38</v>
      </c>
      <c r="E8" s="15">
        <v>15</v>
      </c>
      <c r="F8" s="15">
        <v>28.106533333333335</v>
      </c>
      <c r="G8" s="15">
        <v>421.59800000000001</v>
      </c>
      <c r="H8" s="2"/>
    </row>
    <row r="9" spans="1:8" x14ac:dyDescent="0.45">
      <c r="A9" t="s">
        <v>161</v>
      </c>
      <c r="B9" s="2" t="s">
        <v>137</v>
      </c>
      <c r="C9" s="9" t="s">
        <v>123</v>
      </c>
      <c r="D9" s="2" t="s">
        <v>38</v>
      </c>
      <c r="E9" s="17">
        <v>11</v>
      </c>
      <c r="F9" s="16">
        <v>29.305000000000003</v>
      </c>
      <c r="G9" s="16">
        <v>322.35500000000002</v>
      </c>
      <c r="H9" s="2"/>
    </row>
    <row r="10" spans="1:8" x14ac:dyDescent="0.45">
      <c r="A10" t="s">
        <v>157</v>
      </c>
      <c r="B10" s="2" t="s">
        <v>133</v>
      </c>
      <c r="C10" s="9" t="s">
        <v>123</v>
      </c>
      <c r="D10" s="2" t="s">
        <v>38</v>
      </c>
      <c r="E10" s="2">
        <v>16</v>
      </c>
      <c r="F10" s="16">
        <v>24.9489375</v>
      </c>
      <c r="G10" s="16">
        <v>399.18299999999999</v>
      </c>
      <c r="H10" s="2"/>
    </row>
    <row r="11" spans="1:8" x14ac:dyDescent="0.45">
      <c r="A11" t="s">
        <v>152</v>
      </c>
      <c r="B11" s="2" t="s">
        <v>128</v>
      </c>
      <c r="C11" s="9" t="s">
        <v>123</v>
      </c>
      <c r="D11" s="2" t="s">
        <v>38</v>
      </c>
      <c r="E11" s="2">
        <v>11</v>
      </c>
      <c r="F11" s="2">
        <v>33.358909090909094</v>
      </c>
      <c r="G11" s="15">
        <v>366.94800000000004</v>
      </c>
      <c r="H11" s="15"/>
    </row>
    <row r="12" spans="1:8" x14ac:dyDescent="0.45">
      <c r="A12" t="s">
        <v>66</v>
      </c>
      <c r="B12" s="2" t="s">
        <v>12</v>
      </c>
      <c r="C12" s="2" t="s">
        <v>86</v>
      </c>
      <c r="D12" s="15" t="s">
        <v>38</v>
      </c>
      <c r="E12" s="17">
        <v>6.5</v>
      </c>
      <c r="F12" s="16">
        <v>32.239692307692309</v>
      </c>
      <c r="G12" s="16">
        <v>419.11599999999999</v>
      </c>
      <c r="H12" s="15"/>
    </row>
    <row r="13" spans="1:8" x14ac:dyDescent="0.45">
      <c r="A13" t="s">
        <v>73</v>
      </c>
      <c r="B13" s="2" t="s">
        <v>19</v>
      </c>
      <c r="C13" s="15" t="s">
        <v>86</v>
      </c>
      <c r="D13" s="2" t="s">
        <v>38</v>
      </c>
      <c r="E13" s="15">
        <v>7</v>
      </c>
      <c r="F13" s="16">
        <v>33.981142857142864</v>
      </c>
      <c r="G13" s="16">
        <v>237.86800000000002</v>
      </c>
      <c r="H13" s="2"/>
    </row>
    <row r="14" spans="1:8" x14ac:dyDescent="0.45">
      <c r="A14" t="s">
        <v>56</v>
      </c>
      <c r="B14" s="2" t="s">
        <v>2</v>
      </c>
      <c r="C14" s="15" t="s">
        <v>87</v>
      </c>
      <c r="D14" s="2" t="s">
        <v>38</v>
      </c>
      <c r="E14" s="15">
        <v>11</v>
      </c>
      <c r="F14" s="15">
        <v>38.139272727272719</v>
      </c>
      <c r="G14" s="15">
        <v>419.53199999999993</v>
      </c>
      <c r="H14" s="2"/>
    </row>
    <row r="15" spans="1:8" x14ac:dyDescent="0.45">
      <c r="A15" s="17" t="s">
        <v>75</v>
      </c>
      <c r="B15" s="15" t="s">
        <v>21</v>
      </c>
      <c r="C15" s="15" t="s">
        <v>86</v>
      </c>
      <c r="D15" s="15" t="s">
        <v>44</v>
      </c>
      <c r="E15" s="15">
        <v>12</v>
      </c>
      <c r="F15" s="15">
        <v>34.8705</v>
      </c>
      <c r="G15" s="15">
        <v>418.44599999999997</v>
      </c>
      <c r="H15" s="15"/>
    </row>
    <row r="16" spans="1:8" x14ac:dyDescent="0.45">
      <c r="A16" t="s">
        <v>62</v>
      </c>
      <c r="B16" s="15" t="s">
        <v>8</v>
      </c>
      <c r="C16" s="15" t="s">
        <v>86</v>
      </c>
      <c r="D16" s="15" t="s">
        <v>44</v>
      </c>
      <c r="E16" s="15">
        <v>9</v>
      </c>
      <c r="F16" s="15">
        <v>42.537666666666659</v>
      </c>
      <c r="G16" s="15">
        <v>382.83899999999994</v>
      </c>
      <c r="H16" s="15"/>
    </row>
    <row r="17" spans="1:8" x14ac:dyDescent="0.45">
      <c r="A17" t="s">
        <v>83</v>
      </c>
      <c r="B17" s="15" t="s">
        <v>29</v>
      </c>
      <c r="C17" s="15" t="s">
        <v>86</v>
      </c>
      <c r="D17" s="15" t="s">
        <v>44</v>
      </c>
      <c r="E17" s="15">
        <v>7</v>
      </c>
      <c r="F17" s="15">
        <v>38.694285714285719</v>
      </c>
      <c r="G17" s="15">
        <v>270.86</v>
      </c>
      <c r="H17" s="15"/>
    </row>
    <row r="18" spans="1:8" x14ac:dyDescent="0.45">
      <c r="A18" t="s">
        <v>121</v>
      </c>
      <c r="B18" s="15" t="s">
        <v>102</v>
      </c>
      <c r="C18" s="15" t="s">
        <v>123</v>
      </c>
      <c r="D18" s="15" t="s">
        <v>44</v>
      </c>
      <c r="E18" s="15">
        <v>8</v>
      </c>
      <c r="F18" s="15">
        <v>42.933625000000006</v>
      </c>
      <c r="G18" s="15">
        <v>343.46900000000005</v>
      </c>
      <c r="H18" s="15" t="s">
        <v>48</v>
      </c>
    </row>
    <row r="19" spans="1:8" x14ac:dyDescent="0.45">
      <c r="A19" t="s">
        <v>154</v>
      </c>
      <c r="B19" s="15" t="s">
        <v>130</v>
      </c>
      <c r="C19" s="9" t="s">
        <v>123</v>
      </c>
      <c r="D19" s="15" t="s">
        <v>44</v>
      </c>
      <c r="E19" s="15">
        <v>12</v>
      </c>
      <c r="F19" s="15">
        <v>29.159916666666664</v>
      </c>
      <c r="G19" s="15">
        <v>349.91899999999998</v>
      </c>
      <c r="H19" s="15"/>
    </row>
    <row r="20" spans="1:8" x14ac:dyDescent="0.45">
      <c r="A20" t="s">
        <v>78</v>
      </c>
      <c r="B20" s="15" t="s">
        <v>24</v>
      </c>
      <c r="C20" s="15" t="s">
        <v>86</v>
      </c>
      <c r="D20" s="15" t="s">
        <v>44</v>
      </c>
      <c r="E20" s="17">
        <v>19</v>
      </c>
      <c r="F20" s="16">
        <v>20.101315789473684</v>
      </c>
      <c r="G20" s="16">
        <v>381.92500000000001</v>
      </c>
      <c r="H20" s="2"/>
    </row>
    <row r="21" spans="1:8" x14ac:dyDescent="0.45">
      <c r="A21" t="s">
        <v>122</v>
      </c>
      <c r="B21" s="15" t="s">
        <v>103</v>
      </c>
      <c r="C21" s="15" t="s">
        <v>124</v>
      </c>
      <c r="D21" s="15" t="s">
        <v>44</v>
      </c>
      <c r="E21" s="2">
        <v>8</v>
      </c>
      <c r="F21" s="15">
        <v>36.088374999999999</v>
      </c>
      <c r="G21" s="15">
        <v>288.70699999999999</v>
      </c>
      <c r="H21" s="15"/>
    </row>
    <row r="22" spans="1:8" x14ac:dyDescent="0.45">
      <c r="A22" t="s">
        <v>116</v>
      </c>
      <c r="B22" s="15" t="s">
        <v>97</v>
      </c>
      <c r="C22" s="15" t="s">
        <v>124</v>
      </c>
      <c r="D22" s="9" t="s">
        <v>44</v>
      </c>
      <c r="E22" s="15">
        <v>14</v>
      </c>
      <c r="F22" s="15">
        <v>26.287928571428573</v>
      </c>
      <c r="G22" s="15">
        <v>368.03100000000001</v>
      </c>
      <c r="H22" s="15"/>
    </row>
    <row r="23" spans="1:8" x14ac:dyDescent="0.45">
      <c r="A23" t="s">
        <v>107</v>
      </c>
      <c r="B23" s="15" t="s">
        <v>88</v>
      </c>
      <c r="C23" s="15" t="s">
        <v>124</v>
      </c>
      <c r="D23" s="15" t="s">
        <v>105</v>
      </c>
      <c r="E23" s="2">
        <v>12</v>
      </c>
      <c r="F23" s="15">
        <v>23.820416666666663</v>
      </c>
      <c r="G23" s="15">
        <v>285.84499999999997</v>
      </c>
      <c r="H23" s="15"/>
    </row>
    <row r="24" spans="1:8" x14ac:dyDescent="0.45">
      <c r="A24" t="s">
        <v>114</v>
      </c>
      <c r="B24" s="2" t="s">
        <v>95</v>
      </c>
      <c r="C24" s="2" t="s">
        <v>124</v>
      </c>
      <c r="D24" s="2" t="s">
        <v>44</v>
      </c>
      <c r="E24" s="2">
        <v>13</v>
      </c>
      <c r="F24" s="15">
        <v>25.047153846153851</v>
      </c>
      <c r="G24" s="15">
        <v>325.61300000000006</v>
      </c>
      <c r="H24" s="2"/>
    </row>
    <row r="25" spans="1:8" x14ac:dyDescent="0.45">
      <c r="A25" t="s">
        <v>153</v>
      </c>
      <c r="B25" s="15" t="s">
        <v>129</v>
      </c>
      <c r="C25" s="9" t="s">
        <v>124</v>
      </c>
      <c r="D25" s="15" t="s">
        <v>44</v>
      </c>
      <c r="E25" s="15">
        <v>14</v>
      </c>
      <c r="F25" s="15">
        <v>23.254857142857141</v>
      </c>
      <c r="G25" s="15">
        <v>325.56799999999998</v>
      </c>
      <c r="H25" s="15"/>
    </row>
    <row r="26" spans="1:8" x14ac:dyDescent="0.45">
      <c r="A26" t="s">
        <v>160</v>
      </c>
      <c r="B26" s="15" t="s">
        <v>136</v>
      </c>
      <c r="C26" s="9" t="s">
        <v>124</v>
      </c>
      <c r="D26" s="15" t="s">
        <v>44</v>
      </c>
      <c r="E26" s="15">
        <v>7</v>
      </c>
      <c r="F26" s="16">
        <v>37.669285714285714</v>
      </c>
      <c r="G26" s="16">
        <v>263.685</v>
      </c>
      <c r="H26" s="15"/>
    </row>
    <row r="27" spans="1:8" x14ac:dyDescent="0.45">
      <c r="A27" t="s">
        <v>158</v>
      </c>
      <c r="B27" s="15" t="s">
        <v>134</v>
      </c>
      <c r="C27" s="9" t="s">
        <v>124</v>
      </c>
      <c r="D27" s="15" t="s">
        <v>44</v>
      </c>
      <c r="E27" s="15">
        <v>11</v>
      </c>
      <c r="F27" s="15">
        <v>50.80436363636364</v>
      </c>
      <c r="G27" s="15">
        <v>558.84800000000007</v>
      </c>
      <c r="H27" s="15"/>
    </row>
    <row r="28" spans="1:8" x14ac:dyDescent="0.45">
      <c r="A28" t="s">
        <v>167</v>
      </c>
      <c r="B28" s="15" t="s">
        <v>16</v>
      </c>
      <c r="C28" s="9" t="s">
        <v>124</v>
      </c>
      <c r="D28" s="15" t="s">
        <v>44</v>
      </c>
      <c r="E28" s="17">
        <v>8</v>
      </c>
      <c r="F28" s="16">
        <v>25.19725</v>
      </c>
      <c r="G28" s="16">
        <v>201.578</v>
      </c>
      <c r="H28" s="15"/>
    </row>
    <row r="29" spans="1:8" x14ac:dyDescent="0.45">
      <c r="A29" t="s">
        <v>59</v>
      </c>
      <c r="B29" s="15" t="s">
        <v>5</v>
      </c>
      <c r="C29" s="15" t="s">
        <v>87</v>
      </c>
      <c r="D29" s="15" t="s">
        <v>44</v>
      </c>
      <c r="E29" s="15">
        <v>8</v>
      </c>
      <c r="F29" s="16">
        <v>38.187125000000002</v>
      </c>
      <c r="G29" s="16">
        <v>305.49700000000001</v>
      </c>
      <c r="H29" s="15"/>
    </row>
    <row r="30" spans="1:8" x14ac:dyDescent="0.45">
      <c r="A30" t="s">
        <v>54</v>
      </c>
      <c r="B30" s="4" t="s">
        <v>0</v>
      </c>
      <c r="C30" s="4"/>
      <c r="D30" s="4"/>
      <c r="E30" s="4"/>
      <c r="F30" s="5"/>
      <c r="G30" s="5"/>
      <c r="H30" s="4" t="s">
        <v>40</v>
      </c>
    </row>
    <row r="31" spans="1:8" x14ac:dyDescent="0.45">
      <c r="A31" t="s">
        <v>79</v>
      </c>
      <c r="B31" s="4" t="s">
        <v>25</v>
      </c>
      <c r="C31" s="4"/>
      <c r="D31" s="4"/>
      <c r="E31" s="4"/>
      <c r="F31" s="4"/>
      <c r="G31" s="4"/>
      <c r="H31" s="4" t="s">
        <v>51</v>
      </c>
    </row>
    <row r="32" spans="1:8" x14ac:dyDescent="0.45">
      <c r="A32" t="s">
        <v>57</v>
      </c>
      <c r="B32" s="4" t="s">
        <v>3</v>
      </c>
      <c r="C32" s="4"/>
      <c r="D32" s="4"/>
      <c r="E32" s="4"/>
      <c r="F32" s="4"/>
      <c r="G32" s="4"/>
      <c r="H32" s="4" t="s">
        <v>42</v>
      </c>
    </row>
    <row r="33" spans="1:8" x14ac:dyDescent="0.45">
      <c r="A33" t="s">
        <v>61</v>
      </c>
      <c r="B33" s="4" t="s">
        <v>7</v>
      </c>
      <c r="C33" s="4"/>
      <c r="D33" s="4"/>
      <c r="E33" s="4"/>
      <c r="F33" s="4"/>
      <c r="G33" s="4"/>
      <c r="H33" s="4" t="s">
        <v>46</v>
      </c>
    </row>
    <row r="34" spans="1:8" x14ac:dyDescent="0.45">
      <c r="A34" t="s">
        <v>58</v>
      </c>
      <c r="B34" s="4" t="s">
        <v>4</v>
      </c>
      <c r="C34" s="4"/>
      <c r="D34" s="4"/>
      <c r="E34" s="4"/>
      <c r="F34" s="5"/>
      <c r="G34" s="7"/>
      <c r="H34" s="7" t="s">
        <v>43</v>
      </c>
    </row>
    <row r="35" spans="1:8" x14ac:dyDescent="0.45">
      <c r="A35" s="14" t="s">
        <v>67</v>
      </c>
      <c r="B35" s="17" t="s">
        <v>13</v>
      </c>
      <c r="C35" s="17" t="s">
        <v>86</v>
      </c>
      <c r="D35" s="17" t="s">
        <v>38</v>
      </c>
      <c r="E35" s="17">
        <v>27</v>
      </c>
      <c r="F35" s="17">
        <v>21.180814814814816</v>
      </c>
      <c r="G35" s="17">
        <v>571.88200000000006</v>
      </c>
      <c r="H35" s="17"/>
    </row>
    <row r="36" spans="1:8" x14ac:dyDescent="0.45">
      <c r="A36" t="s">
        <v>115</v>
      </c>
      <c r="B36" s="15" t="s">
        <v>96</v>
      </c>
      <c r="C36" s="15" t="s">
        <v>123</v>
      </c>
      <c r="D36" s="15" t="s">
        <v>38</v>
      </c>
      <c r="E36" s="15">
        <v>21</v>
      </c>
      <c r="F36" s="15">
        <v>15.693285714285713</v>
      </c>
      <c r="G36" s="15">
        <v>329.55899999999997</v>
      </c>
      <c r="H36" s="15"/>
    </row>
    <row r="37" spans="1:8" x14ac:dyDescent="0.45">
      <c r="A37" t="s">
        <v>108</v>
      </c>
      <c r="B37" s="2" t="s">
        <v>89</v>
      </c>
      <c r="C37" s="2" t="s">
        <v>123</v>
      </c>
      <c r="D37" s="2" t="s">
        <v>104</v>
      </c>
      <c r="E37" s="15">
        <v>18</v>
      </c>
      <c r="F37" s="15">
        <v>22.536666666666701</v>
      </c>
      <c r="G37" s="15">
        <v>405.66000000000008</v>
      </c>
      <c r="H37" s="2"/>
    </row>
    <row r="38" spans="1:8" x14ac:dyDescent="0.45">
      <c r="A38" t="s">
        <v>109</v>
      </c>
      <c r="B38" s="15" t="s">
        <v>90</v>
      </c>
      <c r="C38" s="15" t="s">
        <v>123</v>
      </c>
      <c r="D38" s="15" t="s">
        <v>104</v>
      </c>
      <c r="E38" s="15">
        <v>22</v>
      </c>
      <c r="F38" s="15">
        <v>28.154454545454545</v>
      </c>
      <c r="G38" s="15">
        <v>619.39800000000002</v>
      </c>
      <c r="H38" s="15"/>
    </row>
    <row r="39" spans="1:8" x14ac:dyDescent="0.45">
      <c r="A39" t="s">
        <v>120</v>
      </c>
      <c r="B39" s="15" t="s">
        <v>101</v>
      </c>
      <c r="C39" s="15" t="s">
        <v>123</v>
      </c>
      <c r="D39" s="17" t="s">
        <v>38</v>
      </c>
      <c r="E39" s="15">
        <v>12</v>
      </c>
      <c r="F39" s="18">
        <v>28.652999999999995</v>
      </c>
      <c r="G39" s="18">
        <v>343.83599999999996</v>
      </c>
      <c r="H39" s="15"/>
    </row>
    <row r="40" spans="1:8" x14ac:dyDescent="0.45">
      <c r="A40" t="s">
        <v>162</v>
      </c>
      <c r="B40" s="15" t="s">
        <v>138</v>
      </c>
      <c r="C40" s="9" t="s">
        <v>123</v>
      </c>
      <c r="D40" s="15" t="s">
        <v>38</v>
      </c>
      <c r="E40" s="15">
        <v>20</v>
      </c>
      <c r="F40" s="15">
        <v>24.771699999999999</v>
      </c>
      <c r="G40" s="17">
        <v>495.43399999999997</v>
      </c>
      <c r="H40" s="17"/>
    </row>
    <row r="41" spans="1:8" x14ac:dyDescent="0.45">
      <c r="A41" t="s">
        <v>163</v>
      </c>
      <c r="B41" s="15" t="s">
        <v>139</v>
      </c>
      <c r="C41" s="9" t="s">
        <v>123</v>
      </c>
      <c r="D41" s="15" t="s">
        <v>38</v>
      </c>
      <c r="E41" s="15">
        <v>8</v>
      </c>
      <c r="F41" s="15">
        <v>28.188499999999998</v>
      </c>
      <c r="G41" s="14">
        <v>225.50799999999998</v>
      </c>
      <c r="H41" s="14"/>
    </row>
    <row r="42" spans="1:8" x14ac:dyDescent="0.45">
      <c r="A42" t="s">
        <v>168</v>
      </c>
      <c r="B42" s="15" t="s">
        <v>143</v>
      </c>
      <c r="C42" s="9" t="s">
        <v>123</v>
      </c>
      <c r="D42" s="9" t="s">
        <v>38</v>
      </c>
      <c r="E42" s="15">
        <v>13</v>
      </c>
      <c r="F42" s="15">
        <v>32.233230769230765</v>
      </c>
      <c r="G42" s="15">
        <v>419.03199999999998</v>
      </c>
      <c r="H42" s="15"/>
    </row>
    <row r="43" spans="1:8" x14ac:dyDescent="0.45">
      <c r="A43" t="s">
        <v>169</v>
      </c>
      <c r="B43" s="15" t="s">
        <v>144</v>
      </c>
      <c r="C43" s="9" t="s">
        <v>123</v>
      </c>
      <c r="D43" s="9" t="s">
        <v>38</v>
      </c>
      <c r="E43" s="17">
        <v>16</v>
      </c>
      <c r="F43" s="15">
        <v>35.819749999999999</v>
      </c>
      <c r="G43" s="15">
        <v>573.11599999999999</v>
      </c>
      <c r="H43" s="15"/>
    </row>
    <row r="44" spans="1:8" x14ac:dyDescent="0.45">
      <c r="A44" t="s">
        <v>65</v>
      </c>
      <c r="B44" s="15" t="s">
        <v>11</v>
      </c>
      <c r="C44" s="15" t="s">
        <v>86</v>
      </c>
      <c r="D44" s="15" t="s">
        <v>38</v>
      </c>
      <c r="E44" s="17">
        <v>14</v>
      </c>
      <c r="F44" s="15">
        <v>17.83435714285714</v>
      </c>
      <c r="G44" s="15">
        <v>249.68099999999998</v>
      </c>
      <c r="H44" s="15"/>
    </row>
    <row r="45" spans="1:8" x14ac:dyDescent="0.45">
      <c r="A45" t="s">
        <v>76</v>
      </c>
      <c r="B45" s="15" t="s">
        <v>22</v>
      </c>
      <c r="C45" s="15" t="s">
        <v>87</v>
      </c>
      <c r="D45" s="10" t="s">
        <v>44</v>
      </c>
      <c r="E45" s="15">
        <v>16</v>
      </c>
      <c r="F45" s="15">
        <v>29.290687500000004</v>
      </c>
      <c r="G45" s="17">
        <v>468.65100000000007</v>
      </c>
      <c r="H45" s="6"/>
    </row>
    <row r="46" spans="1:8" x14ac:dyDescent="0.45">
      <c r="A46" t="s">
        <v>110</v>
      </c>
      <c r="B46" s="15" t="s">
        <v>91</v>
      </c>
      <c r="C46" s="15" t="s">
        <v>124</v>
      </c>
      <c r="D46" s="9" t="s">
        <v>105</v>
      </c>
      <c r="E46" s="17">
        <v>14</v>
      </c>
      <c r="F46" s="15">
        <f>AVERAGE('[1]3_10'!B2:B15)</f>
        <v>26.065714285714282</v>
      </c>
      <c r="G46" s="17">
        <v>364.91999999999996</v>
      </c>
      <c r="H46" s="17"/>
    </row>
    <row r="47" spans="1:8" x14ac:dyDescent="0.45">
      <c r="A47" t="s">
        <v>113</v>
      </c>
      <c r="B47" s="15" t="s">
        <v>94</v>
      </c>
      <c r="C47" s="15" t="s">
        <v>123</v>
      </c>
      <c r="D47" s="15" t="s">
        <v>44</v>
      </c>
      <c r="E47" s="17">
        <v>15</v>
      </c>
      <c r="F47" s="15">
        <v>35.233866666666664</v>
      </c>
      <c r="G47" s="15">
        <v>528.50799999999992</v>
      </c>
      <c r="H47" s="15"/>
    </row>
    <row r="48" spans="1:8" ht="13.9" customHeight="1" x14ac:dyDescent="0.45">
      <c r="A48" t="s">
        <v>111</v>
      </c>
      <c r="B48" s="15" t="s">
        <v>92</v>
      </c>
      <c r="C48" s="15" t="s">
        <v>123</v>
      </c>
      <c r="D48" s="15" t="s">
        <v>105</v>
      </c>
      <c r="E48" s="15">
        <v>21</v>
      </c>
      <c r="F48" s="15">
        <v>22.532380952380951</v>
      </c>
      <c r="G48" s="15">
        <v>473.17999999999995</v>
      </c>
      <c r="H48" s="2"/>
    </row>
    <row r="49" spans="1:8" x14ac:dyDescent="0.45">
      <c r="A49" t="s">
        <v>155</v>
      </c>
      <c r="B49" s="15" t="s">
        <v>131</v>
      </c>
      <c r="C49" s="9" t="s">
        <v>123</v>
      </c>
      <c r="D49" s="15" t="s">
        <v>44</v>
      </c>
      <c r="E49" s="15">
        <v>14</v>
      </c>
      <c r="F49" s="15">
        <v>28.446214285714284</v>
      </c>
      <c r="G49" s="15">
        <v>398.24699999999996</v>
      </c>
      <c r="H49" s="2"/>
    </row>
    <row r="50" spans="1:8" x14ac:dyDescent="0.45">
      <c r="A50" t="s">
        <v>68</v>
      </c>
      <c r="B50" s="15" t="s">
        <v>14</v>
      </c>
      <c r="C50" s="15" t="s">
        <v>87</v>
      </c>
      <c r="D50" s="15" t="s">
        <v>44</v>
      </c>
      <c r="E50" s="17">
        <v>17</v>
      </c>
      <c r="F50" s="15">
        <v>31.713352941176467</v>
      </c>
      <c r="G50" s="15">
        <v>539.12699999999995</v>
      </c>
      <c r="H50" s="15"/>
    </row>
    <row r="51" spans="1:8" x14ac:dyDescent="0.45">
      <c r="A51" t="s">
        <v>165</v>
      </c>
      <c r="B51" s="15" t="s">
        <v>141</v>
      </c>
      <c r="C51" s="9" t="s">
        <v>124</v>
      </c>
      <c r="D51" s="15" t="s">
        <v>44</v>
      </c>
      <c r="E51" s="17">
        <v>11</v>
      </c>
      <c r="F51" s="17">
        <v>38.764000000000003</v>
      </c>
      <c r="G51" s="14">
        <v>426.404</v>
      </c>
      <c r="H51" s="15"/>
    </row>
    <row r="52" spans="1:8" x14ac:dyDescent="0.45">
      <c r="A52" s="14" t="s">
        <v>151</v>
      </c>
      <c r="B52" s="17" t="s">
        <v>127</v>
      </c>
      <c r="C52" s="13" t="s">
        <v>123</v>
      </c>
      <c r="D52" s="17" t="s">
        <v>44</v>
      </c>
      <c r="E52" s="17">
        <v>19</v>
      </c>
      <c r="F52" s="17">
        <v>21.681210526315791</v>
      </c>
      <c r="G52" s="17">
        <v>411.94300000000004</v>
      </c>
      <c r="H52" s="14"/>
    </row>
    <row r="53" spans="1:8" x14ac:dyDescent="0.45">
      <c r="A53" s="14" t="s">
        <v>159</v>
      </c>
      <c r="B53" s="14" t="s">
        <v>135</v>
      </c>
      <c r="C53" s="13" t="s">
        <v>124</v>
      </c>
      <c r="D53" s="14" t="s">
        <v>44</v>
      </c>
      <c r="E53" s="17">
        <v>7</v>
      </c>
      <c r="F53" s="17">
        <v>29.04214285714286</v>
      </c>
      <c r="G53" s="14">
        <v>203.29500000000002</v>
      </c>
      <c r="H53" s="15"/>
    </row>
    <row r="54" spans="1:8" x14ac:dyDescent="0.45">
      <c r="A54" s="14" t="s">
        <v>72</v>
      </c>
      <c r="B54" s="17" t="s">
        <v>18</v>
      </c>
      <c r="C54" s="17" t="s">
        <v>87</v>
      </c>
      <c r="D54" s="17" t="s">
        <v>44</v>
      </c>
      <c r="E54" s="15">
        <v>10</v>
      </c>
      <c r="F54" s="18">
        <v>32.0381</v>
      </c>
      <c r="G54" s="17">
        <v>320.38099999999997</v>
      </c>
      <c r="H54" s="17"/>
    </row>
    <row r="55" spans="1:8" x14ac:dyDescent="0.45">
      <c r="A55" s="14" t="s">
        <v>82</v>
      </c>
      <c r="B55" s="17" t="s">
        <v>28</v>
      </c>
      <c r="C55" s="17" t="s">
        <v>86</v>
      </c>
      <c r="D55" s="17" t="s">
        <v>44</v>
      </c>
      <c r="E55" s="12">
        <v>20</v>
      </c>
      <c r="F55" s="18">
        <v>24.412950000000006</v>
      </c>
      <c r="G55" s="17">
        <v>488.25900000000013</v>
      </c>
      <c r="H55" s="17"/>
    </row>
    <row r="56" spans="1:8" x14ac:dyDescent="0.45">
      <c r="A56" s="14" t="s">
        <v>63</v>
      </c>
      <c r="B56" s="7" t="s">
        <v>9</v>
      </c>
      <c r="C56" s="7"/>
      <c r="D56" s="7"/>
      <c r="E56" s="4"/>
      <c r="F56" s="22"/>
      <c r="G56" s="7"/>
      <c r="H56" s="7" t="s">
        <v>47</v>
      </c>
    </row>
    <row r="57" spans="1:8" x14ac:dyDescent="0.45">
      <c r="A57" s="14" t="s">
        <v>85</v>
      </c>
      <c r="B57" s="7" t="s">
        <v>31</v>
      </c>
      <c r="C57" s="7"/>
      <c r="D57" s="7"/>
      <c r="E57" s="4"/>
      <c r="F57" s="22"/>
      <c r="G57" s="7"/>
      <c r="H57" s="7" t="s">
        <v>53</v>
      </c>
    </row>
    <row r="58" spans="1:8" x14ac:dyDescent="0.45">
      <c r="A58" s="14" t="s">
        <v>71</v>
      </c>
      <c r="B58" s="7" t="s">
        <v>17</v>
      </c>
      <c r="C58" s="7"/>
      <c r="D58" s="7"/>
      <c r="E58" s="4"/>
      <c r="F58" s="22"/>
      <c r="G58" s="7"/>
      <c r="H58" s="7" t="s">
        <v>49</v>
      </c>
    </row>
    <row r="59" spans="1:8" x14ac:dyDescent="0.45">
      <c r="A59" s="14" t="s">
        <v>80</v>
      </c>
      <c r="B59" s="7" t="s">
        <v>26</v>
      </c>
      <c r="C59" s="7"/>
      <c r="D59" s="7"/>
      <c r="E59" s="7"/>
      <c r="F59" s="7"/>
      <c r="G59" s="7"/>
      <c r="H59" s="7" t="s">
        <v>51</v>
      </c>
    </row>
    <row r="60" spans="1:8" x14ac:dyDescent="0.45">
      <c r="A60" s="14" t="s">
        <v>81</v>
      </c>
      <c r="B60" s="7" t="s">
        <v>27</v>
      </c>
      <c r="C60" s="7"/>
      <c r="D60" s="7"/>
      <c r="E60" s="4"/>
      <c r="F60" s="22"/>
      <c r="G60" s="7"/>
      <c r="H60" s="7" t="s">
        <v>52</v>
      </c>
    </row>
    <row r="61" spans="1:8" x14ac:dyDescent="0.45">
      <c r="A61" s="14" t="s">
        <v>119</v>
      </c>
      <c r="B61" s="7" t="s">
        <v>100</v>
      </c>
      <c r="C61" s="7"/>
      <c r="D61" s="7"/>
      <c r="E61" s="4"/>
      <c r="F61" s="22"/>
      <c r="G61" s="7"/>
      <c r="H61" s="7" t="s">
        <v>106</v>
      </c>
    </row>
    <row r="62" spans="1:8" x14ac:dyDescent="0.45">
      <c r="A62" s="14" t="s">
        <v>150</v>
      </c>
      <c r="B62" s="11" t="s">
        <v>126</v>
      </c>
      <c r="C62" s="13" t="s">
        <v>124</v>
      </c>
      <c r="D62" s="11"/>
      <c r="E62" s="4"/>
      <c r="F62" s="22"/>
      <c r="G62" s="11"/>
      <c r="H62" s="7" t="s">
        <v>106</v>
      </c>
    </row>
    <row r="63" spans="1:8" x14ac:dyDescent="0.45">
      <c r="A63" s="14" t="s">
        <v>164</v>
      </c>
      <c r="B63" s="11" t="s">
        <v>140</v>
      </c>
      <c r="C63" s="13" t="s">
        <v>124</v>
      </c>
      <c r="D63" s="11"/>
      <c r="E63" s="4"/>
      <c r="F63" s="22"/>
      <c r="G63" s="11"/>
      <c r="H63" s="11" t="s">
        <v>147</v>
      </c>
    </row>
    <row r="64" spans="1:8" x14ac:dyDescent="0.45">
      <c r="A64" s="14" t="s">
        <v>166</v>
      </c>
      <c r="B64" s="11" t="s">
        <v>142</v>
      </c>
      <c r="C64" s="13" t="s">
        <v>124</v>
      </c>
      <c r="D64" s="11"/>
      <c r="E64" s="4"/>
      <c r="F64" s="22"/>
      <c r="G64" s="11"/>
      <c r="H64" s="11" t="s">
        <v>148</v>
      </c>
    </row>
    <row r="65" spans="1:8" x14ac:dyDescent="0.45">
      <c r="A65" s="14" t="s">
        <v>156</v>
      </c>
      <c r="B65" s="11" t="s">
        <v>132</v>
      </c>
      <c r="C65" s="13" t="s">
        <v>124</v>
      </c>
      <c r="D65" s="11"/>
      <c r="E65" s="4"/>
      <c r="F65" s="22"/>
      <c r="G65" s="11"/>
      <c r="H65" s="11" t="s">
        <v>146</v>
      </c>
    </row>
    <row r="66" spans="1:8" x14ac:dyDescent="0.45">
      <c r="A66" s="14" t="s">
        <v>170</v>
      </c>
      <c r="B66" s="20" t="s">
        <v>145</v>
      </c>
      <c r="C66" s="13" t="s">
        <v>124</v>
      </c>
      <c r="D66" s="20"/>
      <c r="E66" s="21"/>
      <c r="F66" s="23"/>
      <c r="G66" s="20"/>
      <c r="H66" s="20" t="s">
        <v>149</v>
      </c>
    </row>
    <row r="67" spans="1:8" x14ac:dyDescent="0.45">
      <c r="A67" s="14" t="s">
        <v>60</v>
      </c>
      <c r="B67" s="7" t="s">
        <v>6</v>
      </c>
      <c r="C67" s="7"/>
      <c r="D67" s="7"/>
      <c r="E67" s="7"/>
      <c r="F67" s="7"/>
      <c r="G67" s="7"/>
      <c r="H67" s="7" t="s">
        <v>45</v>
      </c>
    </row>
    <row r="68" spans="1:8" x14ac:dyDescent="0.45">
      <c r="A68" s="14" t="s">
        <v>64</v>
      </c>
      <c r="B68" s="7" t="s">
        <v>10</v>
      </c>
      <c r="C68" s="7"/>
      <c r="D68" s="7"/>
      <c r="E68" s="4"/>
      <c r="F68" s="22"/>
      <c r="G68" s="7"/>
      <c r="H68" s="7" t="s">
        <v>45</v>
      </c>
    </row>
    <row r="69" spans="1:8" x14ac:dyDescent="0.45">
      <c r="A69" s="14" t="s">
        <v>77</v>
      </c>
      <c r="B69" s="7" t="s">
        <v>23</v>
      </c>
      <c r="C69" s="7"/>
      <c r="D69" s="7"/>
      <c r="E69" s="7"/>
      <c r="F69" s="7"/>
      <c r="G69" s="7"/>
      <c r="H69" s="7" t="s">
        <v>50</v>
      </c>
    </row>
    <row r="70" spans="1:8" x14ac:dyDescent="0.45">
      <c r="A70" s="14" t="s">
        <v>55</v>
      </c>
      <c r="B70" s="7" t="s">
        <v>1</v>
      </c>
      <c r="C70" s="7"/>
      <c r="D70" s="7"/>
      <c r="E70" s="4"/>
      <c r="F70" s="22"/>
      <c r="G70" s="7"/>
      <c r="H70" s="7" t="s">
        <v>41</v>
      </c>
    </row>
    <row r="71" spans="1:8" x14ac:dyDescent="0.45">
      <c r="A71" s="25" t="s">
        <v>33</v>
      </c>
      <c r="B71" s="25" t="s">
        <v>32</v>
      </c>
      <c r="C71" s="25" t="s">
        <v>34</v>
      </c>
      <c r="D71" s="25" t="s">
        <v>35</v>
      </c>
      <c r="E71" s="19" t="s">
        <v>36</v>
      </c>
      <c r="F71" s="30" t="s">
        <v>37</v>
      </c>
      <c r="G71" s="25" t="s">
        <v>125</v>
      </c>
      <c r="H71" s="25" t="s">
        <v>39</v>
      </c>
    </row>
    <row r="72" spans="1:8" x14ac:dyDescent="0.45">
      <c r="A72" s="8"/>
      <c r="B72" s="8"/>
      <c r="C72" s="8"/>
      <c r="D72" s="8"/>
      <c r="E72" s="27"/>
      <c r="F72" s="29"/>
      <c r="G72" s="8"/>
      <c r="H72" s="8"/>
    </row>
    <row r="73" spans="1:8" x14ac:dyDescent="0.45">
      <c r="A73" s="8"/>
      <c r="B73" s="8"/>
      <c r="C73" s="8"/>
      <c r="D73" s="8"/>
      <c r="E73" s="8"/>
      <c r="F73" s="8"/>
      <c r="G73" s="8"/>
      <c r="H73" s="8"/>
    </row>
  </sheetData>
  <sortState ref="A2:G29">
    <sortCondition ref="D2:D29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Jill</dc:creator>
  <cp:lastModifiedBy>Jill</cp:lastModifiedBy>
  <dcterms:created xsi:type="dcterms:W3CDTF">2017-02-17T08:49:13Z</dcterms:created>
  <dcterms:modified xsi:type="dcterms:W3CDTF">2017-02-24T17:10:51Z</dcterms:modified>
</cp:coreProperties>
</file>