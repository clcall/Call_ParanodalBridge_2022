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ILL'S LAB DATA\Tissue Repair PhD\BoNT-B\E71 - BoNT-B mRNA single OLs\"/>
    </mc:Choice>
  </mc:AlternateContent>
  <bookViews>
    <workbookView xWindow="0" yWindow="0" windowWidth="24000" windowHeight="9435" firstSheet="14" activeTab="30"/>
  </bookViews>
  <sheets>
    <sheet name="0_2" sheetId="1" r:id="rId1"/>
    <sheet name="4_31" sheetId="2" r:id="rId2"/>
    <sheet name="6_6" sheetId="3" r:id="rId3"/>
    <sheet name="6_14" sheetId="4" r:id="rId4"/>
    <sheet name="6_17" sheetId="5" r:id="rId5"/>
    <sheet name="7_11" sheetId="6" r:id="rId6"/>
    <sheet name="7_27" sheetId="7" r:id="rId7"/>
    <sheet name="8_15" sheetId="8" r:id="rId8"/>
    <sheet name="9_3" sheetId="9" r:id="rId9"/>
    <sheet name="9_18" sheetId="10" r:id="rId10"/>
    <sheet name="9_29" sheetId="11" r:id="rId11"/>
    <sheet name="12_32" sheetId="12" r:id="rId12"/>
    <sheet name="15_12" sheetId="13" r:id="rId13"/>
    <sheet name="15_19" sheetId="14" r:id="rId14"/>
    <sheet name="15_25" sheetId="15" r:id="rId15"/>
    <sheet name="16_4" sheetId="16" r:id="rId16"/>
    <sheet name="17_7" sheetId="17" r:id="rId17"/>
    <sheet name="18_21" sheetId="19" r:id="rId18"/>
    <sheet name="18_26" sheetId="18" r:id="rId19"/>
    <sheet name="20_16" sheetId="20" r:id="rId20"/>
    <sheet name="21_1" sheetId="21" r:id="rId21"/>
    <sheet name="21_8" sheetId="22" r:id="rId22"/>
    <sheet name="22_23" sheetId="23" r:id="rId23"/>
    <sheet name="24_30" sheetId="24" r:id="rId24"/>
    <sheet name="26_10" sheetId="25" r:id="rId25"/>
    <sheet name="29_13" sheetId="26" r:id="rId26"/>
    <sheet name="29_22" sheetId="27" r:id="rId27"/>
    <sheet name="29_24" sheetId="28" r:id="rId28"/>
    <sheet name="29_28" sheetId="29" r:id="rId29"/>
    <sheet name="31_5" sheetId="30" r:id="rId30"/>
    <sheet name="31_9" sheetId="31" r:id="rId31"/>
    <sheet name="31_20" sheetId="32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1" l="1"/>
  <c r="B12" i="30"/>
  <c r="B25" i="29"/>
  <c r="B25" i="25"/>
  <c r="B20" i="23"/>
  <c r="B16" i="22"/>
  <c r="B19" i="21"/>
  <c r="C11" i="20"/>
  <c r="C14" i="18"/>
  <c r="C20" i="17"/>
  <c r="C17" i="16"/>
  <c r="C22" i="15"/>
  <c r="C32" i="14"/>
  <c r="C25" i="13"/>
  <c r="C25" i="12"/>
  <c r="C13" i="9"/>
  <c r="C12" i="6"/>
  <c r="C15" i="3"/>
  <c r="B11" i="31" l="1"/>
  <c r="B11" i="30"/>
  <c r="B24" i="29"/>
  <c r="B24" i="25"/>
  <c r="B19" i="23"/>
  <c r="B15" i="22"/>
  <c r="B18" i="21"/>
  <c r="C10" i="20"/>
  <c r="C13" i="18"/>
  <c r="C19" i="17"/>
  <c r="C16" i="16"/>
  <c r="C21" i="15"/>
  <c r="C31" i="14"/>
  <c r="C24" i="13"/>
  <c r="C23" i="13"/>
  <c r="C24" i="12"/>
  <c r="C12" i="9"/>
  <c r="C11" i="6"/>
  <c r="C14" i="3"/>
</calcChain>
</file>

<file path=xl/sharedStrings.xml><?xml version="1.0" encoding="utf-8"?>
<sst xmlns="http://schemas.openxmlformats.org/spreadsheetml/2006/main" count="179" uniqueCount="20">
  <si>
    <t>Sheath #</t>
  </si>
  <si>
    <t>Length</t>
  </si>
  <si>
    <t>Cell body</t>
  </si>
  <si>
    <t>Total # sheaths</t>
  </si>
  <si>
    <t>Mean sheath length</t>
  </si>
  <si>
    <t>Cannot distinguish sheaths at back</t>
  </si>
  <si>
    <t>Includes a mauthner sheath</t>
  </si>
  <si>
    <t>Multiple cells</t>
  </si>
  <si>
    <t>Image seems distorted?</t>
  </si>
  <si>
    <t>Cell moves</t>
  </si>
  <si>
    <t xml:space="preserve">Ugly cell </t>
  </si>
  <si>
    <t>Cell moves, cannot distinguish sheaths</t>
  </si>
  <si>
    <t>2 CELL BODIES</t>
  </si>
  <si>
    <t>Total # sheaths/cell</t>
  </si>
  <si>
    <t>Mean sheath length/cell</t>
  </si>
  <si>
    <t>Sheaths projecting out to motor axon</t>
  </si>
  <si>
    <t>Too many overlapping sheaths</t>
  </si>
  <si>
    <t>Image looks distorted?</t>
  </si>
  <si>
    <t>Can't tell if 1 or 2 cells</t>
  </si>
  <si>
    <t>Cannot distinguish sheaths (too 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</si>
</sst>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1" xfId="0" applyFont="1" applyBorder="1"/>
    <xf numFmtId="0" fontId="0" fillId="2" borderId="4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E6" sqref="E6"/>
    </sheetView>
  </sheetViews>
  <sheetFormatPr defaultRowHeight="14.25" x14ac:dyDescent="0.45"/>
  <cols>
    <col min="1" max="1" width="16" customWidth="1"/>
    <col min="2" max="2" width="18.59765625" customWidth="1"/>
    <col min="3" max="3" width="11.597656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/>
    </row>
    <row r="6" spans="2:5" x14ac:dyDescent="0.45">
      <c r="B6" s="5"/>
      <c r="C6" s="4"/>
      <c r="D6" s="6"/>
      <c r="E6" s="6" t="s">
        <v>5</v>
      </c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E6" sqref="E6"/>
    </sheetView>
  </sheetViews>
  <sheetFormatPr defaultRowHeight="14.25" x14ac:dyDescent="0.45"/>
  <cols>
    <col min="2" max="2" width="19.73046875" customWidth="1"/>
    <col min="3" max="3" width="12.92968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/>
    </row>
    <row r="6" spans="2:5" x14ac:dyDescent="0.45">
      <c r="B6" s="5"/>
      <c r="C6" s="4"/>
      <c r="D6" s="6"/>
      <c r="E6" s="6" t="s">
        <v>6</v>
      </c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15" sqref="C15"/>
    </sheetView>
  </sheetViews>
  <sheetFormatPr defaultRowHeight="14.25" x14ac:dyDescent="0.45"/>
  <cols>
    <col min="2" max="2" width="21.73046875" customWidth="1"/>
    <col min="3" max="3" width="11.86328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24.140999999999998</v>
      </c>
      <c r="D2" s="6"/>
      <c r="E2" s="4"/>
    </row>
    <row r="3" spans="2:5" x14ac:dyDescent="0.45">
      <c r="B3" s="5">
        <v>2</v>
      </c>
      <c r="C3" s="4">
        <v>4.2460000000000004</v>
      </c>
      <c r="D3" s="6"/>
      <c r="E3" s="6"/>
    </row>
    <row r="4" spans="2:5" x14ac:dyDescent="0.45">
      <c r="B4" s="5">
        <v>3</v>
      </c>
      <c r="C4" s="4">
        <v>57.783999999999999</v>
      </c>
      <c r="D4" s="6"/>
      <c r="E4" s="6"/>
    </row>
    <row r="5" spans="2:5" x14ac:dyDescent="0.45">
      <c r="B5" s="5">
        <v>4</v>
      </c>
      <c r="C5" s="4">
        <v>48.237000000000002</v>
      </c>
      <c r="D5" s="6"/>
      <c r="E5" s="6"/>
    </row>
    <row r="6" spans="2:5" x14ac:dyDescent="0.45">
      <c r="B6" s="5">
        <v>5</v>
      </c>
      <c r="C6" s="4">
        <v>13.129</v>
      </c>
      <c r="D6" s="6"/>
      <c r="E6" s="6"/>
    </row>
    <row r="7" spans="2:5" x14ac:dyDescent="0.45">
      <c r="B7" s="5">
        <v>6</v>
      </c>
      <c r="C7" s="4">
        <v>28.962</v>
      </c>
      <c r="D7" s="6"/>
      <c r="E7" s="6"/>
    </row>
    <row r="8" spans="2:5" x14ac:dyDescent="0.45">
      <c r="B8" s="5">
        <v>7</v>
      </c>
      <c r="C8" s="4">
        <v>46.643999999999998</v>
      </c>
      <c r="D8" s="6"/>
      <c r="E8" s="6"/>
    </row>
    <row r="9" spans="2:5" x14ac:dyDescent="0.45">
      <c r="B9" s="5">
        <v>8</v>
      </c>
      <c r="C9" s="4">
        <v>64.802999999999997</v>
      </c>
      <c r="D9" s="6"/>
      <c r="E9" s="6"/>
    </row>
    <row r="10" spans="2:5" x14ac:dyDescent="0.45">
      <c r="B10" s="5">
        <v>9</v>
      </c>
      <c r="C10" s="4">
        <v>64.759</v>
      </c>
      <c r="D10" s="6"/>
      <c r="E10" s="6"/>
    </row>
    <row r="11" spans="2:5" x14ac:dyDescent="0.45">
      <c r="B11" s="5">
        <v>10</v>
      </c>
      <c r="C11" s="4">
        <v>30.244</v>
      </c>
      <c r="D11" s="6"/>
      <c r="E11" s="6"/>
    </row>
    <row r="12" spans="2:5" x14ac:dyDescent="0.45">
      <c r="B12" s="5">
        <v>11</v>
      </c>
      <c r="C12" s="4">
        <v>36.582999999999998</v>
      </c>
      <c r="D12" s="6"/>
      <c r="E12" s="6"/>
    </row>
    <row r="13" spans="2:5" x14ac:dyDescent="0.45">
      <c r="B13" s="1" t="s">
        <v>3</v>
      </c>
      <c r="C13" s="4">
        <v>11</v>
      </c>
      <c r="D13" s="6"/>
      <c r="E13" s="6"/>
    </row>
    <row r="14" spans="2:5" x14ac:dyDescent="0.45">
      <c r="B14" s="1" t="s">
        <v>4</v>
      </c>
      <c r="C14" s="7">
        <f>AVERAGE(C2:C12)</f>
        <v>38.139272727272719</v>
      </c>
      <c r="D14" s="6"/>
      <c r="E14" s="6"/>
    </row>
    <row r="15" spans="2:5" x14ac:dyDescent="0.45">
      <c r="C15">
        <f>SUM(C2:C12)</f>
        <v>419.53199999999993</v>
      </c>
      <c r="D15" s="6"/>
      <c r="E15" s="6"/>
    </row>
    <row r="16" spans="2:5" x14ac:dyDescent="0.45">
      <c r="D16" s="6"/>
      <c r="E16" s="6"/>
    </row>
    <row r="17" spans="4:5" x14ac:dyDescent="0.45">
      <c r="D17" s="6"/>
      <c r="E17" s="6"/>
    </row>
    <row r="18" spans="4:5" x14ac:dyDescent="0.45">
      <c r="D18" s="6"/>
      <c r="E18" s="6"/>
    </row>
    <row r="19" spans="4:5" x14ac:dyDescent="0.45">
      <c r="D19" s="6"/>
      <c r="E19" s="6"/>
    </row>
    <row r="20" spans="4:5" x14ac:dyDescent="0.45">
      <c r="D20" s="6"/>
      <c r="E20" s="6"/>
    </row>
    <row r="21" spans="4:5" x14ac:dyDescent="0.45">
      <c r="D21" s="6"/>
      <c r="E21" s="6"/>
    </row>
    <row r="22" spans="4:5" x14ac:dyDescent="0.45">
      <c r="D22" s="6"/>
      <c r="E22" s="6"/>
    </row>
    <row r="23" spans="4:5" x14ac:dyDescent="0.45">
      <c r="D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E5" sqref="E5"/>
    </sheetView>
  </sheetViews>
  <sheetFormatPr defaultRowHeight="14.25" x14ac:dyDescent="0.45"/>
  <cols>
    <col min="2" max="2" width="19.33203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 t="s">
        <v>7</v>
      </c>
    </row>
    <row r="6" spans="2:5" x14ac:dyDescent="0.45">
      <c r="B6" s="5"/>
      <c r="C6" s="4"/>
      <c r="D6" s="6"/>
      <c r="E6" s="6"/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E10" sqref="E10"/>
    </sheetView>
  </sheetViews>
  <sheetFormatPr defaultRowHeight="14.25" x14ac:dyDescent="0.45"/>
  <cols>
    <col min="2" max="2" width="18.53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/>
    </row>
    <row r="6" spans="2:5" x14ac:dyDescent="0.45">
      <c r="B6" s="5"/>
      <c r="C6" s="4"/>
      <c r="D6" s="6"/>
      <c r="E6" s="6"/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 t="s">
        <v>8</v>
      </c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12" sqref="C12"/>
    </sheetView>
  </sheetViews>
  <sheetFormatPr defaultRowHeight="14.25" x14ac:dyDescent="0.45"/>
  <cols>
    <col min="2" max="2" width="19.33203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19.873999999999999</v>
      </c>
      <c r="D2" s="6"/>
      <c r="E2" s="4"/>
    </row>
    <row r="3" spans="2:5" x14ac:dyDescent="0.45">
      <c r="B3" s="5">
        <v>2</v>
      </c>
      <c r="C3" s="4">
        <v>2.4660000000000002</v>
      </c>
      <c r="D3" s="6"/>
      <c r="E3" s="6"/>
    </row>
    <row r="4" spans="2:5" x14ac:dyDescent="0.45">
      <c r="B4" s="5">
        <v>3</v>
      </c>
      <c r="C4" s="4">
        <v>11.487</v>
      </c>
      <c r="D4" s="6"/>
      <c r="E4" s="6"/>
    </row>
    <row r="5" spans="2:5" x14ac:dyDescent="0.45">
      <c r="B5" s="5">
        <v>4</v>
      </c>
      <c r="C5" s="4">
        <v>69.875</v>
      </c>
      <c r="D5" s="6"/>
      <c r="E5" s="6"/>
    </row>
    <row r="6" spans="2:5" x14ac:dyDescent="0.45">
      <c r="B6" s="5">
        <v>5</v>
      </c>
      <c r="C6" s="4">
        <v>56.064</v>
      </c>
      <c r="D6" s="6"/>
      <c r="E6" s="6"/>
    </row>
    <row r="7" spans="2:5" x14ac:dyDescent="0.45">
      <c r="B7" s="5">
        <v>6</v>
      </c>
      <c r="C7" s="4">
        <v>17.966000000000001</v>
      </c>
      <c r="D7" s="6"/>
      <c r="E7" s="6"/>
    </row>
    <row r="8" spans="2:5" x14ac:dyDescent="0.45">
      <c r="B8" s="5">
        <v>7</v>
      </c>
      <c r="C8" s="4">
        <v>63.430999999999997</v>
      </c>
      <c r="D8" s="6"/>
      <c r="E8" s="6"/>
    </row>
    <row r="9" spans="2:5" x14ac:dyDescent="0.45">
      <c r="B9" s="5">
        <v>8</v>
      </c>
      <c r="C9" s="4">
        <v>64.334000000000003</v>
      </c>
      <c r="D9" s="6"/>
      <c r="E9" s="6"/>
    </row>
    <row r="10" spans="2:5" x14ac:dyDescent="0.45">
      <c r="B10" s="1" t="s">
        <v>3</v>
      </c>
      <c r="C10" s="4">
        <v>8</v>
      </c>
      <c r="D10" s="6"/>
      <c r="E10" s="6"/>
    </row>
    <row r="11" spans="2:5" x14ac:dyDescent="0.45">
      <c r="B11" s="1" t="s">
        <v>4</v>
      </c>
      <c r="C11" s="7">
        <f>AVERAGE(C2:C9)</f>
        <v>38.187125000000002</v>
      </c>
      <c r="D11" s="6"/>
      <c r="E11" s="6"/>
    </row>
    <row r="12" spans="2:5" x14ac:dyDescent="0.45">
      <c r="C12">
        <f>SUM(C2:C9)</f>
        <v>305.49700000000001</v>
      </c>
      <c r="D12" s="6"/>
      <c r="E12" s="6"/>
    </row>
    <row r="13" spans="2:5" x14ac:dyDescent="0.45">
      <c r="D13" s="6"/>
      <c r="E13" s="6"/>
    </row>
    <row r="14" spans="2:5" x14ac:dyDescent="0.45">
      <c r="D14" s="6"/>
      <c r="E14" s="6"/>
    </row>
    <row r="15" spans="2:5" x14ac:dyDescent="0.45">
      <c r="D15" s="6"/>
      <c r="E15" s="6"/>
    </row>
    <row r="16" spans="2:5" x14ac:dyDescent="0.45">
      <c r="D16" s="6"/>
      <c r="E16" s="6"/>
    </row>
    <row r="17" spans="4:5" x14ac:dyDescent="0.45">
      <c r="D17" s="6"/>
      <c r="E17" s="6"/>
    </row>
    <row r="18" spans="4:5" x14ac:dyDescent="0.45">
      <c r="D18" s="6"/>
      <c r="E18" s="6"/>
    </row>
    <row r="19" spans="4:5" x14ac:dyDescent="0.45">
      <c r="D19" s="6"/>
      <c r="E19" s="6"/>
    </row>
    <row r="20" spans="4:5" x14ac:dyDescent="0.45">
      <c r="D20" s="6"/>
      <c r="E20" s="6"/>
    </row>
    <row r="21" spans="4:5" x14ac:dyDescent="0.45">
      <c r="D21" s="6"/>
      <c r="E21" s="6"/>
    </row>
    <row r="22" spans="4:5" x14ac:dyDescent="0.45">
      <c r="D22" s="6"/>
      <c r="E22" s="6"/>
    </row>
    <row r="23" spans="4:5" x14ac:dyDescent="0.45">
      <c r="D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sqref="A1:E24"/>
    </sheetView>
  </sheetViews>
  <sheetFormatPr defaultRowHeight="14.25" x14ac:dyDescent="0.45"/>
  <cols>
    <col min="2" max="2" width="19.464843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 t="s">
        <v>9</v>
      </c>
    </row>
    <row r="6" spans="2:5" x14ac:dyDescent="0.45">
      <c r="B6" s="5"/>
      <c r="C6" s="4"/>
      <c r="D6" s="6"/>
      <c r="E6" s="6"/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sqref="A1:E25"/>
    </sheetView>
  </sheetViews>
  <sheetFormatPr defaultRowHeight="14.25" x14ac:dyDescent="0.45"/>
  <cols>
    <col min="2" max="2" width="18.7968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/>
    </row>
    <row r="6" spans="2:5" x14ac:dyDescent="0.45">
      <c r="B6" s="5"/>
      <c r="C6" s="4"/>
      <c r="D6" s="6"/>
      <c r="E6" s="6" t="s">
        <v>10</v>
      </c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13" sqref="C13"/>
    </sheetView>
  </sheetViews>
  <sheetFormatPr defaultRowHeight="14.25" x14ac:dyDescent="0.45"/>
  <cols>
    <col min="2" max="2" width="23.199218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18.731999999999999</v>
      </c>
      <c r="D2" s="6"/>
      <c r="E2" s="4"/>
    </row>
    <row r="3" spans="2:5" x14ac:dyDescent="0.45">
      <c r="B3" s="5">
        <v>2</v>
      </c>
      <c r="C3" s="4">
        <v>39.688000000000002</v>
      </c>
      <c r="D3" s="6"/>
      <c r="E3" s="6"/>
    </row>
    <row r="4" spans="2:5" x14ac:dyDescent="0.45">
      <c r="B4" s="5">
        <v>3</v>
      </c>
      <c r="C4" s="4">
        <v>38.96</v>
      </c>
      <c r="D4" s="6"/>
      <c r="E4" s="6"/>
    </row>
    <row r="5" spans="2:5" x14ac:dyDescent="0.45">
      <c r="B5" s="5">
        <v>4</v>
      </c>
      <c r="C5" s="4">
        <v>76.616</v>
      </c>
      <c r="D5" s="6"/>
      <c r="E5" s="6"/>
    </row>
    <row r="6" spans="2:5" x14ac:dyDescent="0.45">
      <c r="B6" s="5">
        <v>5</v>
      </c>
      <c r="C6" s="4">
        <v>51.555999999999997</v>
      </c>
      <c r="D6" s="6"/>
      <c r="E6" s="6"/>
    </row>
    <row r="7" spans="2:5" x14ac:dyDescent="0.45">
      <c r="B7" s="5">
        <v>6</v>
      </c>
      <c r="C7" s="4">
        <v>56.127000000000002</v>
      </c>
      <c r="D7" s="6"/>
      <c r="E7" s="6"/>
    </row>
    <row r="8" spans="2:5" x14ac:dyDescent="0.45">
      <c r="B8" s="5">
        <v>7</v>
      </c>
      <c r="C8" s="4">
        <v>15.566000000000001</v>
      </c>
      <c r="D8" s="6"/>
      <c r="E8" s="6"/>
    </row>
    <row r="9" spans="2:5" x14ac:dyDescent="0.45">
      <c r="B9" s="5">
        <v>8</v>
      </c>
      <c r="C9" s="4">
        <v>34.152000000000001</v>
      </c>
      <c r="D9" s="6"/>
      <c r="E9" s="6"/>
    </row>
    <row r="10" spans="2:5" x14ac:dyDescent="0.45">
      <c r="B10" s="5">
        <v>9</v>
      </c>
      <c r="C10" s="4">
        <v>51.442</v>
      </c>
      <c r="D10" s="6"/>
      <c r="E10" s="6"/>
    </row>
    <row r="11" spans="2:5" x14ac:dyDescent="0.45">
      <c r="B11" s="1" t="s">
        <v>3</v>
      </c>
      <c r="C11" s="4">
        <v>9</v>
      </c>
      <c r="D11" s="6"/>
      <c r="E11" s="6"/>
    </row>
    <row r="12" spans="2:5" x14ac:dyDescent="0.45">
      <c r="B12" s="1" t="s">
        <v>4</v>
      </c>
      <c r="C12" s="7">
        <f>AVERAGE(C2:C10)</f>
        <v>42.537666666666659</v>
      </c>
      <c r="D12" s="6"/>
      <c r="E12" s="6"/>
    </row>
    <row r="13" spans="2:5" x14ac:dyDescent="0.45">
      <c r="C13">
        <f>SUM(C2:C10)</f>
        <v>382.83899999999994</v>
      </c>
      <c r="D13" s="6"/>
      <c r="E13" s="6"/>
    </row>
    <row r="14" spans="2:5" x14ac:dyDescent="0.45">
      <c r="D14" s="6"/>
      <c r="E14" s="6"/>
    </row>
    <row r="15" spans="2:5" x14ac:dyDescent="0.45">
      <c r="D15" s="6"/>
      <c r="E15" s="6"/>
    </row>
    <row r="16" spans="2:5" x14ac:dyDescent="0.45">
      <c r="D16" s="6"/>
      <c r="E16" s="6"/>
    </row>
    <row r="17" spans="4:5" x14ac:dyDescent="0.45">
      <c r="D17" s="6"/>
      <c r="E17" s="6"/>
    </row>
    <row r="18" spans="4:5" x14ac:dyDescent="0.45">
      <c r="D18" s="6"/>
      <c r="E18" s="6"/>
    </row>
    <row r="19" spans="4:5" x14ac:dyDescent="0.45">
      <c r="D19" s="6"/>
      <c r="E19" s="6"/>
    </row>
    <row r="20" spans="4:5" x14ac:dyDescent="0.45">
      <c r="D20" s="6"/>
      <c r="E20" s="6"/>
    </row>
    <row r="21" spans="4:5" x14ac:dyDescent="0.45">
      <c r="D21" s="6"/>
      <c r="E21" s="6"/>
    </row>
    <row r="22" spans="4:5" x14ac:dyDescent="0.45">
      <c r="D22" s="6"/>
      <c r="E22" s="6"/>
    </row>
    <row r="23" spans="4:5" x14ac:dyDescent="0.45">
      <c r="D23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F9" sqref="F9"/>
    </sheetView>
  </sheetViews>
  <sheetFormatPr defaultRowHeight="14.25" x14ac:dyDescent="0.45"/>
  <cols>
    <col min="2" max="2" width="19.33203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 t="s">
        <v>11</v>
      </c>
    </row>
    <row r="6" spans="2:5" x14ac:dyDescent="0.45">
      <c r="B6" s="5"/>
      <c r="C6" s="4"/>
      <c r="D6" s="6"/>
      <c r="E6" s="6"/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sqref="A1:E24"/>
    </sheetView>
  </sheetViews>
  <sheetFormatPr defaultRowHeight="14.25" x14ac:dyDescent="0.45"/>
  <cols>
    <col min="2" max="2" width="20.53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 t="s">
        <v>9</v>
      </c>
    </row>
    <row r="6" spans="2:5" x14ac:dyDescent="0.45">
      <c r="B6" s="5"/>
      <c r="C6" s="4"/>
      <c r="D6" s="6"/>
      <c r="E6" s="6"/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>
      <selection activeCell="C25" sqref="C25"/>
    </sheetView>
  </sheetViews>
  <sheetFormatPr defaultRowHeight="14.25" x14ac:dyDescent="0.45"/>
  <cols>
    <col min="2" max="2" width="22.531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30.588999999999999</v>
      </c>
      <c r="D2" s="6"/>
      <c r="E2" s="4"/>
    </row>
    <row r="3" spans="2:5" x14ac:dyDescent="0.45">
      <c r="B3" s="9">
        <v>2</v>
      </c>
      <c r="C3" s="10">
        <v>1.9359999999999999</v>
      </c>
      <c r="D3" s="6"/>
      <c r="E3" s="6"/>
    </row>
    <row r="4" spans="2:5" x14ac:dyDescent="0.45">
      <c r="B4" s="9">
        <v>3</v>
      </c>
      <c r="C4" s="10">
        <v>4.3319999999999999</v>
      </c>
      <c r="D4" s="6"/>
      <c r="E4" s="6"/>
    </row>
    <row r="5" spans="2:5" x14ac:dyDescent="0.45">
      <c r="B5" s="9">
        <v>4</v>
      </c>
      <c r="C5" s="10">
        <v>2.1579999999999999</v>
      </c>
      <c r="D5" s="6"/>
      <c r="E5" s="6" t="s">
        <v>9</v>
      </c>
    </row>
    <row r="6" spans="2:5" x14ac:dyDescent="0.45">
      <c r="B6" s="5">
        <v>5</v>
      </c>
      <c r="C6" s="4">
        <v>18.324999999999999</v>
      </c>
      <c r="D6" s="6"/>
      <c r="E6" s="6"/>
    </row>
    <row r="7" spans="2:5" x14ac:dyDescent="0.45">
      <c r="B7" s="5">
        <v>6</v>
      </c>
      <c r="C7" s="4">
        <v>6.1840000000000002</v>
      </c>
      <c r="D7" s="6"/>
      <c r="E7" s="6"/>
    </row>
    <row r="8" spans="2:5" x14ac:dyDescent="0.45">
      <c r="B8" s="5">
        <v>7</v>
      </c>
      <c r="C8" s="4">
        <v>20.03</v>
      </c>
      <c r="D8" s="6"/>
      <c r="E8" s="6"/>
    </row>
    <row r="9" spans="2:5" x14ac:dyDescent="0.45">
      <c r="B9" s="5">
        <v>8</v>
      </c>
      <c r="C9" s="4">
        <v>9.9529999999999994</v>
      </c>
      <c r="D9" s="6"/>
      <c r="E9" s="6"/>
    </row>
    <row r="10" spans="2:5" x14ac:dyDescent="0.45">
      <c r="B10" s="5">
        <v>9</v>
      </c>
      <c r="C10" s="4">
        <v>34.587000000000003</v>
      </c>
      <c r="D10" s="6"/>
      <c r="E10" s="6"/>
    </row>
    <row r="11" spans="2:5" x14ac:dyDescent="0.45">
      <c r="B11" s="9">
        <v>10</v>
      </c>
      <c r="C11" s="10">
        <v>2.9780000000000002</v>
      </c>
      <c r="D11" s="6"/>
      <c r="E11" s="6"/>
    </row>
    <row r="12" spans="2:5" x14ac:dyDescent="0.45">
      <c r="B12" s="5">
        <v>11</v>
      </c>
      <c r="C12" s="4">
        <v>10.362</v>
      </c>
      <c r="D12" s="6"/>
      <c r="E12" s="6"/>
    </row>
    <row r="13" spans="2:5" x14ac:dyDescent="0.45">
      <c r="B13" s="5">
        <v>12</v>
      </c>
      <c r="C13" s="4">
        <v>25.077000000000002</v>
      </c>
      <c r="D13" s="6"/>
      <c r="E13" s="6"/>
    </row>
    <row r="14" spans="2:5" x14ac:dyDescent="0.45">
      <c r="B14" s="5">
        <v>13</v>
      </c>
      <c r="C14" s="4">
        <v>31.646000000000001</v>
      </c>
      <c r="D14" s="6"/>
      <c r="E14" s="6"/>
    </row>
    <row r="15" spans="2:5" x14ac:dyDescent="0.45">
      <c r="B15" s="5">
        <v>14</v>
      </c>
      <c r="C15" s="4">
        <v>11.526</v>
      </c>
      <c r="D15" s="6"/>
      <c r="E15" s="6"/>
    </row>
    <row r="16" spans="2:5" x14ac:dyDescent="0.45">
      <c r="B16" s="5">
        <v>15</v>
      </c>
      <c r="C16" s="4">
        <v>15.422000000000001</v>
      </c>
      <c r="D16" s="6"/>
      <c r="E16" s="6"/>
    </row>
    <row r="17" spans="2:5" x14ac:dyDescent="0.45">
      <c r="B17" s="5">
        <v>16</v>
      </c>
      <c r="C17" s="4">
        <v>11.194000000000001</v>
      </c>
      <c r="D17" s="6"/>
      <c r="E17" s="6"/>
    </row>
    <row r="18" spans="2:5" x14ac:dyDescent="0.45">
      <c r="B18" s="5">
        <v>17</v>
      </c>
      <c r="C18" s="4">
        <v>10.035</v>
      </c>
      <c r="D18" s="6"/>
      <c r="E18" s="6"/>
    </row>
    <row r="19" spans="2:5" x14ac:dyDescent="0.45">
      <c r="B19" s="5">
        <v>18</v>
      </c>
      <c r="C19" s="4">
        <v>14.750999999999999</v>
      </c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>
        <v>14</v>
      </c>
      <c r="D23" s="6"/>
    </row>
    <row r="24" spans="2:5" x14ac:dyDescent="0.45">
      <c r="B24" s="1" t="s">
        <v>4</v>
      </c>
      <c r="C24" s="7">
        <f>AVERAGE(C2,C6:C10,C12:C19)</f>
        <v>17.83435714285714</v>
      </c>
    </row>
    <row r="25" spans="2:5" x14ac:dyDescent="0.45">
      <c r="C25">
        <f>SUM(C2,C6:C10,C12:C19)</f>
        <v>249.68099999999998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>
      <selection activeCell="C25" sqref="C25"/>
    </sheetView>
  </sheetViews>
  <sheetFormatPr defaultRowHeight="14.25" x14ac:dyDescent="0.45"/>
  <cols>
    <col min="2" max="2" width="21.199218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18.565999999999999</v>
      </c>
      <c r="D2" s="6"/>
      <c r="E2" s="4"/>
    </row>
    <row r="3" spans="2:5" x14ac:dyDescent="0.45">
      <c r="B3" s="5">
        <v>2</v>
      </c>
      <c r="C3" s="4">
        <v>24.030999999999999</v>
      </c>
      <c r="D3" s="6"/>
      <c r="E3" s="6"/>
    </row>
    <row r="4" spans="2:5" x14ac:dyDescent="0.45">
      <c r="B4" s="5">
        <v>3</v>
      </c>
      <c r="C4" s="4">
        <v>13.462999999999999</v>
      </c>
      <c r="D4" s="6"/>
      <c r="E4" s="6"/>
    </row>
    <row r="5" spans="2:5" x14ac:dyDescent="0.45">
      <c r="B5" s="5">
        <v>4</v>
      </c>
      <c r="C5" s="4">
        <v>22.334</v>
      </c>
      <c r="D5" s="6"/>
      <c r="E5" s="6" t="s">
        <v>9</v>
      </c>
    </row>
    <row r="6" spans="2:5" x14ac:dyDescent="0.45">
      <c r="B6" s="5">
        <v>5</v>
      </c>
      <c r="C6" s="4">
        <v>35.866999999999997</v>
      </c>
      <c r="D6" s="6"/>
      <c r="E6" s="6"/>
    </row>
    <row r="7" spans="2:5" x14ac:dyDescent="0.45">
      <c r="B7" s="5">
        <v>6</v>
      </c>
      <c r="C7" s="4">
        <v>21.437999999999999</v>
      </c>
      <c r="D7" s="6"/>
      <c r="E7" s="6"/>
    </row>
    <row r="8" spans="2:5" x14ac:dyDescent="0.45">
      <c r="B8" s="5">
        <v>7</v>
      </c>
      <c r="C8" s="4">
        <v>49.595999999999997</v>
      </c>
      <c r="D8" s="6"/>
      <c r="E8" s="6"/>
    </row>
    <row r="9" spans="2:5" x14ac:dyDescent="0.45">
      <c r="B9" s="5">
        <v>8</v>
      </c>
      <c r="C9" s="4">
        <v>22.689</v>
      </c>
      <c r="D9" s="6"/>
      <c r="E9" s="6"/>
    </row>
    <row r="10" spans="2:5" x14ac:dyDescent="0.45">
      <c r="B10" s="5">
        <v>9</v>
      </c>
      <c r="C10" s="4">
        <v>52.085999999999999</v>
      </c>
      <c r="D10" s="6"/>
      <c r="E10" s="6"/>
    </row>
    <row r="11" spans="2:5" x14ac:dyDescent="0.45">
      <c r="B11" s="5">
        <v>10</v>
      </c>
      <c r="C11" s="4">
        <v>55.531999999999996</v>
      </c>
      <c r="D11" s="6"/>
      <c r="E11" s="6"/>
    </row>
    <row r="12" spans="2:5" x14ac:dyDescent="0.45">
      <c r="B12" s="5">
        <v>11</v>
      </c>
      <c r="C12" s="4">
        <v>34.024000000000001</v>
      </c>
      <c r="D12" s="6"/>
      <c r="E12" s="6"/>
    </row>
    <row r="13" spans="2:5" x14ac:dyDescent="0.45">
      <c r="B13" s="5">
        <v>12</v>
      </c>
      <c r="C13" s="4">
        <v>39.302</v>
      </c>
      <c r="D13" s="6"/>
      <c r="E13" s="6"/>
    </row>
    <row r="14" spans="2:5" x14ac:dyDescent="0.45">
      <c r="B14" s="5">
        <v>13</v>
      </c>
      <c r="C14" s="4">
        <v>30.187999999999999</v>
      </c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 t="s">
        <v>12</v>
      </c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13</v>
      </c>
      <c r="C23" s="4">
        <f>13/2</f>
        <v>6.5</v>
      </c>
      <c r="D23" s="6"/>
    </row>
    <row r="24" spans="2:5" x14ac:dyDescent="0.45">
      <c r="B24" s="1" t="s">
        <v>14</v>
      </c>
      <c r="C24" s="7">
        <f>AVERAGE(C2:C14)</f>
        <v>32.239692307692309</v>
      </c>
    </row>
    <row r="25" spans="2:5" x14ac:dyDescent="0.45">
      <c r="C25">
        <f>SUM(C2:C14)</f>
        <v>419.11599999999999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2"/>
  <sheetViews>
    <sheetView topLeftCell="A2" workbookViewId="0">
      <selection activeCell="C32" sqref="C32"/>
    </sheetView>
  </sheetViews>
  <sheetFormatPr defaultRowHeight="14.25" x14ac:dyDescent="0.45"/>
  <cols>
    <col min="2" max="2" width="19.597656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25.741</v>
      </c>
      <c r="D2" s="6"/>
      <c r="E2" s="4"/>
    </row>
    <row r="3" spans="2:5" x14ac:dyDescent="0.45">
      <c r="B3" s="5">
        <v>2</v>
      </c>
      <c r="C3" s="4">
        <v>9.0649999999999995</v>
      </c>
      <c r="D3" s="6"/>
      <c r="E3" s="6"/>
    </row>
    <row r="4" spans="2:5" x14ac:dyDescent="0.45">
      <c r="B4" s="5">
        <v>3</v>
      </c>
      <c r="C4" s="4">
        <v>12.804</v>
      </c>
      <c r="D4" s="6"/>
      <c r="E4" s="6"/>
    </row>
    <row r="5" spans="2:5" x14ac:dyDescent="0.45">
      <c r="B5" s="5">
        <v>4</v>
      </c>
      <c r="C5" s="4">
        <v>17.631</v>
      </c>
      <c r="D5" s="6"/>
      <c r="E5" s="6"/>
    </row>
    <row r="6" spans="2:5" x14ac:dyDescent="0.45">
      <c r="B6" s="5">
        <v>5</v>
      </c>
      <c r="C6" s="4">
        <v>23.228000000000002</v>
      </c>
      <c r="D6" s="6"/>
      <c r="E6" s="6"/>
    </row>
    <row r="7" spans="2:5" x14ac:dyDescent="0.45">
      <c r="B7" s="5">
        <v>6</v>
      </c>
      <c r="C7" s="4">
        <v>17.93</v>
      </c>
      <c r="D7" s="6"/>
      <c r="E7" s="6"/>
    </row>
    <row r="8" spans="2:5" x14ac:dyDescent="0.45">
      <c r="B8" s="5">
        <v>7</v>
      </c>
      <c r="C8" s="4">
        <v>25.36</v>
      </c>
      <c r="D8" s="6"/>
      <c r="E8" s="6"/>
    </row>
    <row r="9" spans="2:5" x14ac:dyDescent="0.45">
      <c r="B9" s="5">
        <v>8</v>
      </c>
      <c r="C9" s="4">
        <v>11.787000000000001</v>
      </c>
      <c r="D9" s="6"/>
      <c r="E9" s="6"/>
    </row>
    <row r="10" spans="2:5" x14ac:dyDescent="0.45">
      <c r="B10" s="5">
        <v>9</v>
      </c>
      <c r="C10" s="4">
        <v>14.917999999999999</v>
      </c>
      <c r="D10" s="6"/>
      <c r="E10" s="6"/>
    </row>
    <row r="11" spans="2:5" x14ac:dyDescent="0.45">
      <c r="B11" s="5">
        <v>10</v>
      </c>
      <c r="C11" s="4">
        <v>18.542000000000002</v>
      </c>
      <c r="D11" s="6"/>
      <c r="E11" s="6"/>
    </row>
    <row r="12" spans="2:5" x14ac:dyDescent="0.45">
      <c r="B12" s="9">
        <v>11</v>
      </c>
      <c r="C12" s="10">
        <v>4.84</v>
      </c>
      <c r="D12" s="6"/>
      <c r="E12" s="6"/>
    </row>
    <row r="13" spans="2:5" x14ac:dyDescent="0.45">
      <c r="B13" s="5">
        <v>12</v>
      </c>
      <c r="C13" s="4">
        <v>10.132999999999999</v>
      </c>
      <c r="D13" s="6"/>
      <c r="E13" s="6"/>
    </row>
    <row r="14" spans="2:5" x14ac:dyDescent="0.45">
      <c r="B14" s="5">
        <v>13</v>
      </c>
      <c r="C14" s="4">
        <v>25.702999999999999</v>
      </c>
      <c r="D14" s="6"/>
      <c r="E14" s="6"/>
    </row>
    <row r="15" spans="2:5" x14ac:dyDescent="0.45">
      <c r="B15" s="5">
        <v>14</v>
      </c>
      <c r="C15" s="4">
        <v>23.888999999999999</v>
      </c>
      <c r="D15" s="6"/>
      <c r="E15" s="6"/>
    </row>
    <row r="16" spans="2:5" x14ac:dyDescent="0.45">
      <c r="B16" s="5">
        <v>15</v>
      </c>
      <c r="C16" s="4">
        <v>15.305999999999999</v>
      </c>
      <c r="D16" s="6"/>
      <c r="E16" s="6"/>
    </row>
    <row r="17" spans="2:5" x14ac:dyDescent="0.45">
      <c r="B17" s="5">
        <v>16</v>
      </c>
      <c r="C17" s="4">
        <v>25.382999999999999</v>
      </c>
      <c r="D17" s="6"/>
      <c r="E17" s="6"/>
    </row>
    <row r="18" spans="2:5" x14ac:dyDescent="0.45">
      <c r="B18" s="5">
        <v>17</v>
      </c>
      <c r="C18" s="4">
        <v>18.074999999999999</v>
      </c>
      <c r="D18" s="6"/>
      <c r="E18" s="6"/>
    </row>
    <row r="19" spans="2:5" x14ac:dyDescent="0.45">
      <c r="B19" s="5">
        <v>18</v>
      </c>
      <c r="C19" s="4">
        <v>29.385000000000002</v>
      </c>
      <c r="D19" s="6"/>
      <c r="E19" s="6"/>
    </row>
    <row r="20" spans="2:5" x14ac:dyDescent="0.45">
      <c r="B20" s="5">
        <v>19</v>
      </c>
      <c r="C20" s="4">
        <v>24.384</v>
      </c>
      <c r="D20" s="6"/>
      <c r="E20" s="6"/>
    </row>
    <row r="21" spans="2:5" x14ac:dyDescent="0.45">
      <c r="B21" s="5">
        <v>20</v>
      </c>
      <c r="C21" s="4">
        <v>32.011000000000003</v>
      </c>
      <c r="D21" s="6"/>
      <c r="E21" s="6"/>
    </row>
    <row r="22" spans="2:5" x14ac:dyDescent="0.45">
      <c r="B22" s="5">
        <v>21</v>
      </c>
      <c r="C22" s="4">
        <v>33.347999999999999</v>
      </c>
      <c r="D22" s="6"/>
      <c r="E22" s="6"/>
    </row>
    <row r="23" spans="2:5" x14ac:dyDescent="0.45">
      <c r="B23" s="5">
        <v>22</v>
      </c>
      <c r="C23" s="4">
        <v>29.870999999999999</v>
      </c>
      <c r="D23" s="6"/>
      <c r="E23" s="6"/>
    </row>
    <row r="24" spans="2:5" x14ac:dyDescent="0.45">
      <c r="B24" s="5">
        <v>23</v>
      </c>
      <c r="C24" s="4">
        <v>23.97</v>
      </c>
      <c r="D24" s="6"/>
      <c r="E24" s="6"/>
    </row>
    <row r="25" spans="2:5" x14ac:dyDescent="0.45">
      <c r="B25" s="5">
        <v>24</v>
      </c>
      <c r="C25" s="4">
        <v>11.656000000000001</v>
      </c>
      <c r="D25" s="6"/>
      <c r="E25" s="6"/>
    </row>
    <row r="26" spans="2:5" x14ac:dyDescent="0.45">
      <c r="B26" s="5">
        <v>25</v>
      </c>
      <c r="C26" s="4">
        <v>29.082000000000001</v>
      </c>
      <c r="D26" s="6"/>
      <c r="E26" s="6"/>
    </row>
    <row r="27" spans="2:5" x14ac:dyDescent="0.45">
      <c r="B27" s="5">
        <v>26</v>
      </c>
      <c r="C27" s="4">
        <v>21.46</v>
      </c>
      <c r="D27" s="6"/>
      <c r="E27" s="6"/>
    </row>
    <row r="28" spans="2:5" x14ac:dyDescent="0.45">
      <c r="B28" s="5">
        <v>27</v>
      </c>
      <c r="C28" s="4">
        <v>10.901999999999999</v>
      </c>
      <c r="D28" s="6"/>
      <c r="E28" s="6"/>
    </row>
    <row r="29" spans="2:5" x14ac:dyDescent="0.45">
      <c r="B29" s="5">
        <v>28</v>
      </c>
      <c r="C29" s="4">
        <v>30.318000000000001</v>
      </c>
      <c r="D29" s="6"/>
      <c r="E29" s="6"/>
    </row>
    <row r="30" spans="2:5" x14ac:dyDescent="0.45">
      <c r="B30" s="1" t="s">
        <v>3</v>
      </c>
      <c r="C30" s="4">
        <v>27</v>
      </c>
      <c r="D30" s="6"/>
    </row>
    <row r="31" spans="2:5" x14ac:dyDescent="0.45">
      <c r="B31" s="1" t="s">
        <v>4</v>
      </c>
      <c r="C31" s="7">
        <f>AVERAGE(C2:C11,C13:C29)</f>
        <v>21.180814814814816</v>
      </c>
    </row>
    <row r="32" spans="2:5" x14ac:dyDescent="0.45">
      <c r="C32">
        <f>SUM(C2:C11,C13:C29)</f>
        <v>571.88200000000006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22" sqref="C22"/>
    </sheetView>
  </sheetViews>
  <sheetFormatPr defaultRowHeight="14.25" x14ac:dyDescent="0.45"/>
  <cols>
    <col min="2" max="2" width="23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38.517000000000003</v>
      </c>
      <c r="D2" s="6"/>
      <c r="E2" s="4"/>
    </row>
    <row r="3" spans="2:5" x14ac:dyDescent="0.45">
      <c r="B3" s="5">
        <v>2</v>
      </c>
      <c r="C3" s="4">
        <v>28.652000000000001</v>
      </c>
      <c r="D3" s="6"/>
      <c r="E3" s="6"/>
    </row>
    <row r="4" spans="2:5" x14ac:dyDescent="0.45">
      <c r="B4" s="5">
        <v>3</v>
      </c>
      <c r="C4" s="4">
        <v>7.2249999999999996</v>
      </c>
      <c r="D4" s="6"/>
      <c r="E4" s="6"/>
    </row>
    <row r="5" spans="2:5" x14ac:dyDescent="0.45">
      <c r="B5" s="5">
        <v>4</v>
      </c>
      <c r="C5" s="4">
        <v>31.274000000000001</v>
      </c>
      <c r="D5" s="6"/>
      <c r="E5" s="6"/>
    </row>
    <row r="6" spans="2:5" x14ac:dyDescent="0.45">
      <c r="B6" s="5">
        <v>5</v>
      </c>
      <c r="C6" s="4">
        <v>48.878999999999998</v>
      </c>
      <c r="D6" s="6"/>
      <c r="E6" s="6"/>
    </row>
    <row r="7" spans="2:5" x14ac:dyDescent="0.45">
      <c r="B7" s="5">
        <v>6</v>
      </c>
      <c r="C7" s="4">
        <v>11.057</v>
      </c>
      <c r="D7" s="6"/>
      <c r="E7" s="6"/>
    </row>
    <row r="8" spans="2:5" x14ac:dyDescent="0.45">
      <c r="B8" s="5">
        <v>7</v>
      </c>
      <c r="C8" s="4">
        <v>16.806999999999999</v>
      </c>
      <c r="D8" s="6"/>
      <c r="E8" s="6"/>
    </row>
    <row r="9" spans="2:5" x14ac:dyDescent="0.45">
      <c r="B9" s="5">
        <v>8</v>
      </c>
      <c r="C9" s="4">
        <v>46.551000000000002</v>
      </c>
      <c r="D9" s="6"/>
      <c r="E9" s="6"/>
    </row>
    <row r="10" spans="2:5" x14ac:dyDescent="0.45">
      <c r="B10" s="5">
        <v>9</v>
      </c>
      <c r="C10" s="4">
        <v>27.01</v>
      </c>
      <c r="D10" s="6"/>
      <c r="E10" s="6"/>
    </row>
    <row r="11" spans="2:5" x14ac:dyDescent="0.45">
      <c r="B11" s="5">
        <v>10</v>
      </c>
      <c r="C11" s="4">
        <v>25.355</v>
      </c>
      <c r="D11" s="6"/>
      <c r="E11" s="6"/>
    </row>
    <row r="12" spans="2:5" x14ac:dyDescent="0.45">
      <c r="B12" s="5">
        <v>11</v>
      </c>
      <c r="C12" s="4">
        <v>13.047000000000001</v>
      </c>
      <c r="D12" s="6"/>
      <c r="E12" s="6"/>
    </row>
    <row r="13" spans="2:5" x14ac:dyDescent="0.45">
      <c r="B13" s="5">
        <v>12</v>
      </c>
      <c r="C13" s="4">
        <v>36.073999999999998</v>
      </c>
      <c r="D13" s="6"/>
      <c r="E13" s="6"/>
    </row>
    <row r="14" spans="2:5" x14ac:dyDescent="0.45">
      <c r="B14" s="5">
        <v>13</v>
      </c>
      <c r="C14" s="4">
        <v>52.521999999999998</v>
      </c>
      <c r="D14" s="6"/>
      <c r="E14" s="6"/>
    </row>
    <row r="15" spans="2:5" x14ac:dyDescent="0.45">
      <c r="B15" s="5">
        <v>14</v>
      </c>
      <c r="C15" s="4">
        <v>45.076999999999998</v>
      </c>
      <c r="D15" s="6"/>
      <c r="E15" s="6"/>
    </row>
    <row r="16" spans="2:5" x14ac:dyDescent="0.45">
      <c r="B16" s="5">
        <v>15</v>
      </c>
      <c r="C16" s="4">
        <v>39.226999999999997</v>
      </c>
      <c r="D16" s="6"/>
      <c r="E16" s="6"/>
    </row>
    <row r="17" spans="2:5" x14ac:dyDescent="0.45">
      <c r="B17" s="5">
        <v>16</v>
      </c>
      <c r="C17" s="4">
        <v>28.283999999999999</v>
      </c>
      <c r="D17" s="6"/>
      <c r="E17" s="6"/>
    </row>
    <row r="18" spans="2:5" x14ac:dyDescent="0.45">
      <c r="B18" s="9">
        <v>17</v>
      </c>
      <c r="C18" s="10">
        <v>4.8840000000000003</v>
      </c>
      <c r="D18" s="6"/>
      <c r="E18" s="6"/>
    </row>
    <row r="19" spans="2:5" x14ac:dyDescent="0.45">
      <c r="B19" s="5">
        <v>18</v>
      </c>
      <c r="C19" s="4">
        <v>43.569000000000003</v>
      </c>
      <c r="D19" s="6"/>
      <c r="E19" s="6"/>
    </row>
    <row r="20" spans="2:5" x14ac:dyDescent="0.45">
      <c r="B20" s="1" t="s">
        <v>3</v>
      </c>
      <c r="C20" s="4">
        <v>17</v>
      </c>
      <c r="D20" s="6"/>
      <c r="E20" s="6"/>
    </row>
    <row r="21" spans="2:5" x14ac:dyDescent="0.45">
      <c r="B21" s="1" t="s">
        <v>4</v>
      </c>
      <c r="C21" s="7">
        <f>AVERAGE(C2:C17,C19)</f>
        <v>31.713352941176467</v>
      </c>
      <c r="D21" s="6"/>
      <c r="E21" s="6"/>
    </row>
    <row r="22" spans="2:5" x14ac:dyDescent="0.45">
      <c r="C22">
        <f>SUM(C2:C17,C19)</f>
        <v>539.12699999999995</v>
      </c>
      <c r="D22" s="6"/>
      <c r="E22" s="6"/>
    </row>
    <row r="23" spans="2:5" x14ac:dyDescent="0.45">
      <c r="D23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17" sqref="C17"/>
    </sheetView>
  </sheetViews>
  <sheetFormatPr defaultRowHeight="14.25" x14ac:dyDescent="0.45"/>
  <cols>
    <col min="2" max="2" width="20.66406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12</v>
      </c>
      <c r="D2" s="6"/>
      <c r="E2" s="4"/>
    </row>
    <row r="3" spans="2:5" x14ac:dyDescent="0.45">
      <c r="B3" s="5">
        <v>2</v>
      </c>
      <c r="C3" s="4">
        <v>17.420000000000002</v>
      </c>
      <c r="D3" s="6"/>
      <c r="E3" s="6"/>
    </row>
    <row r="4" spans="2:5" x14ac:dyDescent="0.45">
      <c r="B4" s="5">
        <v>3</v>
      </c>
      <c r="C4" s="4">
        <v>17.797999999999998</v>
      </c>
      <c r="D4" s="6"/>
      <c r="E4" s="6"/>
    </row>
    <row r="5" spans="2:5" x14ac:dyDescent="0.45">
      <c r="B5" s="5">
        <v>4</v>
      </c>
      <c r="C5" s="4">
        <v>7.3680000000000003</v>
      </c>
      <c r="D5" s="6"/>
      <c r="E5" s="6"/>
    </row>
    <row r="6" spans="2:5" x14ac:dyDescent="0.45">
      <c r="B6" s="5">
        <v>5</v>
      </c>
      <c r="C6" s="4">
        <v>20.273</v>
      </c>
      <c r="D6" s="6"/>
      <c r="E6" s="6"/>
    </row>
    <row r="7" spans="2:5" x14ac:dyDescent="0.45">
      <c r="B7" s="5">
        <v>6</v>
      </c>
      <c r="C7" s="4">
        <v>11.44</v>
      </c>
      <c r="D7" s="6"/>
      <c r="E7" s="6"/>
    </row>
    <row r="8" spans="2:5" x14ac:dyDescent="0.45">
      <c r="B8" s="5">
        <v>7</v>
      </c>
      <c r="C8" s="4">
        <v>21.468</v>
      </c>
      <c r="D8" s="6"/>
      <c r="E8" s="6"/>
    </row>
    <row r="9" spans="2:5" x14ac:dyDescent="0.45">
      <c r="B9" s="5">
        <v>8</v>
      </c>
      <c r="C9" s="4">
        <v>22.574000000000002</v>
      </c>
      <c r="D9" s="6"/>
      <c r="E9" s="6"/>
    </row>
    <row r="10" spans="2:5" x14ac:dyDescent="0.45">
      <c r="B10" s="5">
        <v>9</v>
      </c>
      <c r="C10" s="4">
        <v>20.794</v>
      </c>
      <c r="D10" s="6"/>
      <c r="E10" s="6"/>
    </row>
    <row r="11" spans="2:5" x14ac:dyDescent="0.45">
      <c r="B11" s="5">
        <v>10</v>
      </c>
      <c r="C11" s="4">
        <v>35.697000000000003</v>
      </c>
      <c r="D11" s="6"/>
      <c r="E11" s="6"/>
    </row>
    <row r="12" spans="2:5" x14ac:dyDescent="0.45">
      <c r="B12" s="5">
        <v>11</v>
      </c>
      <c r="C12" s="4">
        <v>5.2119999999999997</v>
      </c>
      <c r="D12" s="6"/>
      <c r="E12" s="6"/>
    </row>
    <row r="13" spans="2:5" x14ac:dyDescent="0.45">
      <c r="B13" s="5">
        <v>12</v>
      </c>
      <c r="C13" s="4">
        <v>52.139000000000003</v>
      </c>
      <c r="D13" s="6"/>
      <c r="E13" s="6"/>
    </row>
    <row r="14" spans="2:5" x14ac:dyDescent="0.45">
      <c r="B14" s="5">
        <v>13</v>
      </c>
      <c r="C14" s="4">
        <v>28.841000000000001</v>
      </c>
      <c r="D14" s="6"/>
      <c r="E14" s="6"/>
    </row>
    <row r="15" spans="2:5" x14ac:dyDescent="0.45">
      <c r="B15" s="1" t="s">
        <v>3</v>
      </c>
      <c r="C15" s="4">
        <v>13</v>
      </c>
      <c r="D15" s="6"/>
      <c r="E15" s="6"/>
    </row>
    <row r="16" spans="2:5" x14ac:dyDescent="0.45">
      <c r="B16" s="1" t="s">
        <v>4</v>
      </c>
      <c r="C16" s="7">
        <f>AVERAGE(C2:C14)</f>
        <v>21.001846153846152</v>
      </c>
      <c r="D16" s="6"/>
      <c r="E16" s="6"/>
    </row>
    <row r="17" spans="3:5" x14ac:dyDescent="0.45">
      <c r="C17">
        <f>SUM(C2:C14)</f>
        <v>273.024</v>
      </c>
      <c r="D17" s="6"/>
      <c r="E17" s="6"/>
    </row>
    <row r="18" spans="3:5" x14ac:dyDescent="0.45">
      <c r="D18" s="6"/>
      <c r="E18" s="6"/>
    </row>
    <row r="19" spans="3:5" x14ac:dyDescent="0.45">
      <c r="D19" s="6"/>
      <c r="E19" s="6"/>
    </row>
    <row r="20" spans="3:5" x14ac:dyDescent="0.45">
      <c r="D20" s="6"/>
      <c r="E20" s="6"/>
    </row>
    <row r="21" spans="3:5" x14ac:dyDescent="0.45">
      <c r="D21" s="6"/>
      <c r="E21" s="6"/>
    </row>
    <row r="22" spans="3:5" x14ac:dyDescent="0.45">
      <c r="D22" s="6"/>
      <c r="E22" s="6"/>
    </row>
    <row r="23" spans="3:5" x14ac:dyDescent="0.45">
      <c r="D23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20" sqref="C20"/>
    </sheetView>
  </sheetViews>
  <sheetFormatPr defaultRowHeight="14.25" x14ac:dyDescent="0.45"/>
  <cols>
    <col min="2" max="2" width="18.26562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19.555</v>
      </c>
      <c r="D2" s="6"/>
      <c r="E2" s="4"/>
    </row>
    <row r="3" spans="2:5" x14ac:dyDescent="0.45">
      <c r="B3" s="5">
        <v>2</v>
      </c>
      <c r="C3" s="4">
        <v>20.972000000000001</v>
      </c>
      <c r="D3" s="6"/>
      <c r="E3" s="6"/>
    </row>
    <row r="4" spans="2:5" x14ac:dyDescent="0.45">
      <c r="B4" s="5">
        <v>3</v>
      </c>
      <c r="C4" s="4">
        <v>11.9</v>
      </c>
      <c r="D4" s="6"/>
      <c r="E4" s="6"/>
    </row>
    <row r="5" spans="2:5" x14ac:dyDescent="0.45">
      <c r="B5" s="5">
        <v>4</v>
      </c>
      <c r="C5" s="4">
        <v>20.989000000000001</v>
      </c>
      <c r="D5" s="6"/>
      <c r="E5" s="6"/>
    </row>
    <row r="6" spans="2:5" x14ac:dyDescent="0.45">
      <c r="B6" s="5">
        <v>5</v>
      </c>
      <c r="C6" s="4">
        <v>20.646999999999998</v>
      </c>
      <c r="D6" s="6"/>
      <c r="E6" s="6"/>
    </row>
    <row r="7" spans="2:5" x14ac:dyDescent="0.45">
      <c r="B7" s="5">
        <v>6</v>
      </c>
      <c r="C7" s="4">
        <v>21.405000000000001</v>
      </c>
      <c r="D7" s="6"/>
    </row>
    <row r="8" spans="2:5" x14ac:dyDescent="0.45">
      <c r="B8" s="5">
        <v>7</v>
      </c>
      <c r="C8" s="4">
        <v>19.402999999999999</v>
      </c>
      <c r="D8" s="6"/>
      <c r="E8" s="6"/>
    </row>
    <row r="9" spans="2:5" x14ac:dyDescent="0.45">
      <c r="B9" s="5">
        <v>8</v>
      </c>
      <c r="C9" s="4">
        <v>50.365000000000002</v>
      </c>
      <c r="D9" s="6"/>
      <c r="E9" s="6"/>
    </row>
    <row r="10" spans="2:5" x14ac:dyDescent="0.45">
      <c r="B10" s="5">
        <v>9</v>
      </c>
      <c r="C10" s="4">
        <v>23.516999999999999</v>
      </c>
      <c r="D10" s="6"/>
      <c r="E10" s="6"/>
    </row>
    <row r="11" spans="2:5" x14ac:dyDescent="0.45">
      <c r="B11" s="5">
        <v>10</v>
      </c>
      <c r="C11" s="4">
        <v>17.501000000000001</v>
      </c>
      <c r="D11" s="6"/>
      <c r="E11" s="6"/>
    </row>
    <row r="12" spans="2:5" x14ac:dyDescent="0.45">
      <c r="B12" s="5">
        <v>11</v>
      </c>
      <c r="C12" s="4">
        <v>30.791</v>
      </c>
      <c r="D12" s="6"/>
      <c r="E12" s="6"/>
    </row>
    <row r="13" spans="2:5" x14ac:dyDescent="0.45">
      <c r="B13" s="5">
        <v>12</v>
      </c>
      <c r="C13" s="4">
        <v>24.428000000000001</v>
      </c>
      <c r="D13" s="6"/>
      <c r="E13" s="6"/>
    </row>
    <row r="14" spans="2:5" x14ac:dyDescent="0.45">
      <c r="B14" s="5">
        <v>13</v>
      </c>
      <c r="C14" s="4">
        <v>39.787999999999997</v>
      </c>
      <c r="D14" s="6"/>
      <c r="E14" s="6"/>
    </row>
    <row r="15" spans="2:5" x14ac:dyDescent="0.45">
      <c r="B15" s="5">
        <v>14</v>
      </c>
      <c r="C15" s="4">
        <v>6.4050000000000002</v>
      </c>
      <c r="D15" s="6"/>
      <c r="E15" s="6"/>
    </row>
    <row r="16" spans="2:5" x14ac:dyDescent="0.45">
      <c r="B16" s="5">
        <v>15</v>
      </c>
      <c r="C16" s="4">
        <v>28.602</v>
      </c>
      <c r="D16" s="6"/>
      <c r="E16" s="6"/>
    </row>
    <row r="17" spans="2:5" x14ac:dyDescent="0.45">
      <c r="B17" s="5">
        <v>16</v>
      </c>
      <c r="C17" s="4">
        <v>26.552</v>
      </c>
      <c r="D17" s="6"/>
      <c r="E17" s="6"/>
    </row>
    <row r="18" spans="2:5" x14ac:dyDescent="0.45">
      <c r="B18" s="1" t="s">
        <v>3</v>
      </c>
      <c r="C18" s="4">
        <v>16</v>
      </c>
      <c r="D18" s="6"/>
      <c r="E18" s="6"/>
    </row>
    <row r="19" spans="2:5" x14ac:dyDescent="0.45">
      <c r="B19" s="1" t="s">
        <v>4</v>
      </c>
      <c r="C19" s="7">
        <f>AVERAGE(C2:C17)</f>
        <v>23.92625</v>
      </c>
      <c r="D19" s="6"/>
      <c r="E19" s="6"/>
    </row>
    <row r="20" spans="2:5" x14ac:dyDescent="0.45">
      <c r="C20">
        <f>SUM(C2:C17)</f>
        <v>382.82</v>
      </c>
      <c r="D20" s="6"/>
      <c r="E20" s="6"/>
    </row>
    <row r="21" spans="2:5" x14ac:dyDescent="0.45">
      <c r="D21" s="6"/>
      <c r="E21" s="6"/>
    </row>
    <row r="22" spans="2:5" x14ac:dyDescent="0.45">
      <c r="D22" s="6"/>
      <c r="E22" s="6"/>
    </row>
    <row r="23" spans="2:5" x14ac:dyDescent="0.45">
      <c r="D23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E24" sqref="B1:E24"/>
    </sheetView>
  </sheetViews>
  <sheetFormatPr defaultRowHeight="14.25" x14ac:dyDescent="0.45"/>
  <cols>
    <col min="2" max="2" width="22.39843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/>
      <c r="C2" s="4"/>
      <c r="D2" s="6"/>
      <c r="E2" s="4"/>
    </row>
    <row r="3" spans="2:5" x14ac:dyDescent="0.45">
      <c r="B3" s="5"/>
      <c r="C3" s="4"/>
      <c r="D3" s="6"/>
      <c r="E3" s="6"/>
    </row>
    <row r="4" spans="2:5" x14ac:dyDescent="0.45">
      <c r="B4" s="5"/>
      <c r="C4" s="4"/>
      <c r="D4" s="6"/>
      <c r="E4" s="6"/>
    </row>
    <row r="5" spans="2:5" x14ac:dyDescent="0.45">
      <c r="B5" s="5"/>
      <c r="C5" s="4"/>
      <c r="D5" s="6"/>
      <c r="E5" s="6"/>
    </row>
    <row r="6" spans="2:5" x14ac:dyDescent="0.45">
      <c r="B6" s="5"/>
      <c r="C6" s="4"/>
      <c r="D6" s="6"/>
      <c r="E6" s="6" t="s">
        <v>15</v>
      </c>
    </row>
    <row r="7" spans="2:5" x14ac:dyDescent="0.45">
      <c r="B7" s="5"/>
      <c r="C7" s="4"/>
      <c r="D7" s="6"/>
      <c r="E7" s="6"/>
    </row>
    <row r="8" spans="2:5" x14ac:dyDescent="0.45">
      <c r="B8" s="5"/>
      <c r="C8" s="4"/>
      <c r="D8" s="6"/>
      <c r="E8" s="6"/>
    </row>
    <row r="9" spans="2:5" x14ac:dyDescent="0.45">
      <c r="B9" s="5"/>
      <c r="C9" s="4"/>
      <c r="D9" s="6"/>
      <c r="E9" s="6"/>
    </row>
    <row r="10" spans="2:5" x14ac:dyDescent="0.45">
      <c r="B10" s="5"/>
      <c r="C10" s="4"/>
      <c r="D10" s="6"/>
      <c r="E10" s="6"/>
    </row>
    <row r="11" spans="2:5" x14ac:dyDescent="0.45">
      <c r="B11" s="5"/>
      <c r="C11" s="4"/>
      <c r="D11" s="6"/>
      <c r="E11" s="6"/>
    </row>
    <row r="12" spans="2:5" x14ac:dyDescent="0.45">
      <c r="B12" s="5"/>
      <c r="C12" s="4"/>
      <c r="D12" s="6"/>
      <c r="E12" s="6"/>
    </row>
    <row r="13" spans="2:5" x14ac:dyDescent="0.45">
      <c r="B13" s="5"/>
      <c r="C13" s="4"/>
      <c r="D13" s="6"/>
      <c r="E13" s="6"/>
    </row>
    <row r="14" spans="2:5" x14ac:dyDescent="0.45">
      <c r="B14" s="5"/>
      <c r="C14" s="4"/>
      <c r="D14" s="6"/>
      <c r="E14" s="6"/>
    </row>
    <row r="15" spans="2:5" x14ac:dyDescent="0.45">
      <c r="B15" s="5"/>
      <c r="C15" s="4"/>
      <c r="D15" s="6"/>
      <c r="E15" s="6"/>
    </row>
    <row r="16" spans="2:5" x14ac:dyDescent="0.45">
      <c r="B16" s="5"/>
      <c r="C16" s="4"/>
      <c r="D16" s="6"/>
      <c r="E16" s="6"/>
    </row>
    <row r="17" spans="2:5" x14ac:dyDescent="0.45">
      <c r="B17" s="5"/>
      <c r="C17" s="4"/>
      <c r="D17" s="6"/>
      <c r="E17" s="6"/>
    </row>
    <row r="18" spans="2:5" x14ac:dyDescent="0.45">
      <c r="B18" s="5"/>
      <c r="C18" s="4"/>
      <c r="D18" s="6"/>
      <c r="E18" s="6"/>
    </row>
    <row r="19" spans="2:5" x14ac:dyDescent="0.45">
      <c r="B19" s="5"/>
      <c r="C19" s="4"/>
      <c r="D19" s="6"/>
      <c r="E19" s="6"/>
    </row>
    <row r="20" spans="2:5" x14ac:dyDescent="0.45">
      <c r="B20" s="5"/>
      <c r="C20" s="4"/>
      <c r="D20" s="6"/>
      <c r="E20" s="6"/>
    </row>
    <row r="21" spans="2:5" x14ac:dyDescent="0.45">
      <c r="B21" s="5"/>
      <c r="C21" s="4"/>
      <c r="D21" s="6"/>
      <c r="E21" s="6"/>
    </row>
    <row r="22" spans="2:5" x14ac:dyDescent="0.45">
      <c r="B22" s="5"/>
      <c r="C22" s="4"/>
      <c r="D22" s="6"/>
      <c r="E22" s="6"/>
    </row>
    <row r="23" spans="2:5" x14ac:dyDescent="0.45">
      <c r="B23" s="1" t="s">
        <v>3</v>
      </c>
      <c r="C23" s="4"/>
      <c r="D23" s="6"/>
    </row>
    <row r="24" spans="2:5" x14ac:dyDescent="0.45">
      <c r="B24" s="1" t="s">
        <v>4</v>
      </c>
      <c r="C24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14" sqref="C14"/>
    </sheetView>
  </sheetViews>
  <sheetFormatPr defaultRowHeight="14.25" x14ac:dyDescent="0.45"/>
  <cols>
    <col min="2" max="2" width="19.464843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33.122999999999998</v>
      </c>
      <c r="D2" s="6"/>
      <c r="E2" s="4"/>
    </row>
    <row r="3" spans="2:5" x14ac:dyDescent="0.45">
      <c r="B3" s="5">
        <v>2</v>
      </c>
      <c r="C3" s="4">
        <v>31.018000000000001</v>
      </c>
      <c r="D3" s="6"/>
      <c r="E3" s="6"/>
    </row>
    <row r="4" spans="2:5" x14ac:dyDescent="0.45">
      <c r="B4" s="5">
        <v>3</v>
      </c>
      <c r="C4" s="4">
        <v>25.353000000000002</v>
      </c>
      <c r="D4" s="6"/>
      <c r="E4" s="6"/>
    </row>
    <row r="5" spans="2:5" x14ac:dyDescent="0.45">
      <c r="B5" s="5">
        <v>4</v>
      </c>
      <c r="C5" s="4">
        <v>42.704000000000001</v>
      </c>
      <c r="D5" s="6"/>
      <c r="E5" s="6"/>
    </row>
    <row r="6" spans="2:5" x14ac:dyDescent="0.45">
      <c r="B6" s="5">
        <v>5</v>
      </c>
      <c r="C6" s="4">
        <v>25.850999999999999</v>
      </c>
      <c r="D6" s="6"/>
    </row>
    <row r="7" spans="2:5" x14ac:dyDescent="0.45">
      <c r="B7" s="5">
        <v>6</v>
      </c>
      <c r="C7" s="4">
        <v>39.978000000000002</v>
      </c>
      <c r="D7" s="6"/>
      <c r="E7" s="6"/>
    </row>
    <row r="8" spans="2:5" x14ac:dyDescent="0.45">
      <c r="B8" s="5">
        <v>7</v>
      </c>
      <c r="C8" s="4">
        <v>24.472999999999999</v>
      </c>
      <c r="D8" s="6"/>
      <c r="E8" s="6"/>
    </row>
    <row r="9" spans="2:5" x14ac:dyDescent="0.45">
      <c r="B9" s="5">
        <v>8</v>
      </c>
      <c r="C9" s="4">
        <v>24.608000000000001</v>
      </c>
      <c r="D9" s="6"/>
      <c r="E9" s="6"/>
    </row>
    <row r="10" spans="2:5" x14ac:dyDescent="0.45">
      <c r="B10" s="5">
        <v>9</v>
      </c>
      <c r="C10" s="4">
        <v>30.312999999999999</v>
      </c>
      <c r="D10" s="6"/>
      <c r="E10" s="6"/>
    </row>
    <row r="11" spans="2:5" x14ac:dyDescent="0.45">
      <c r="B11" s="5">
        <v>10</v>
      </c>
      <c r="C11" s="4">
        <v>42.96</v>
      </c>
      <c r="D11" s="6"/>
      <c r="E11" s="6"/>
    </row>
    <row r="12" spans="2:5" x14ac:dyDescent="0.45">
      <c r="B12" s="1" t="s">
        <v>3</v>
      </c>
      <c r="C12" s="4">
        <v>10</v>
      </c>
      <c r="D12" s="6"/>
      <c r="E12" s="6"/>
    </row>
    <row r="13" spans="2:5" x14ac:dyDescent="0.45">
      <c r="B13" s="1" t="s">
        <v>4</v>
      </c>
      <c r="C13" s="7">
        <f>AVERAGE(C2:C11)</f>
        <v>32.0381</v>
      </c>
      <c r="D13" s="6"/>
      <c r="E13" s="6"/>
    </row>
    <row r="14" spans="2:5" x14ac:dyDescent="0.45">
      <c r="C14">
        <f>SUM(C2:C11)</f>
        <v>320.38099999999997</v>
      </c>
      <c r="D14" s="6"/>
      <c r="E14" s="6"/>
    </row>
    <row r="15" spans="2:5" x14ac:dyDescent="0.45">
      <c r="D15" s="6"/>
      <c r="E15" s="6"/>
    </row>
    <row r="16" spans="2:5" x14ac:dyDescent="0.45">
      <c r="D16" s="6"/>
      <c r="E16" s="6"/>
    </row>
    <row r="17" spans="4:5" x14ac:dyDescent="0.45">
      <c r="D17" s="6"/>
      <c r="E17" s="6"/>
    </row>
    <row r="18" spans="4:5" x14ac:dyDescent="0.45">
      <c r="D18" s="6"/>
      <c r="E18" s="6"/>
    </row>
    <row r="19" spans="4:5" x14ac:dyDescent="0.45">
      <c r="D19" s="6"/>
      <c r="E19" s="6"/>
    </row>
    <row r="20" spans="4:5" x14ac:dyDescent="0.45">
      <c r="D20" s="6"/>
      <c r="E20" s="6"/>
    </row>
    <row r="21" spans="4:5" x14ac:dyDescent="0.45">
      <c r="D21" s="6"/>
      <c r="E21" s="6"/>
    </row>
    <row r="22" spans="4:5" x14ac:dyDescent="0.45">
      <c r="D22" s="6"/>
      <c r="E22" s="6"/>
    </row>
    <row r="23" spans="4:5" x14ac:dyDescent="0.45">
      <c r="D23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C11" sqref="C11"/>
    </sheetView>
  </sheetViews>
  <sheetFormatPr defaultRowHeight="14.25" x14ac:dyDescent="0.45"/>
  <cols>
    <col min="2" max="2" width="19.46484375" customWidth="1"/>
  </cols>
  <sheetData>
    <row r="1" spans="2:5" x14ac:dyDescent="0.45">
      <c r="B1" s="2" t="s">
        <v>0</v>
      </c>
      <c r="C1" s="8" t="s">
        <v>1</v>
      </c>
      <c r="D1" s="3"/>
      <c r="E1" s="8" t="s">
        <v>2</v>
      </c>
    </row>
    <row r="2" spans="2:5" x14ac:dyDescent="0.45">
      <c r="B2" s="5">
        <v>1</v>
      </c>
      <c r="C2" s="4">
        <v>14.682</v>
      </c>
      <c r="D2" s="6"/>
      <c r="E2" s="4"/>
    </row>
    <row r="3" spans="2:5" x14ac:dyDescent="0.45">
      <c r="B3" s="5">
        <v>2</v>
      </c>
      <c r="C3" s="4">
        <v>34.146999999999998</v>
      </c>
      <c r="D3" s="6"/>
      <c r="E3" s="6"/>
    </row>
    <row r="4" spans="2:5" x14ac:dyDescent="0.45">
      <c r="B4" s="5">
        <v>3</v>
      </c>
      <c r="C4" s="4">
        <v>39.07</v>
      </c>
      <c r="D4" s="6"/>
      <c r="E4" s="6"/>
    </row>
    <row r="5" spans="2:5" x14ac:dyDescent="0.45">
      <c r="B5" s="5">
        <v>4</v>
      </c>
      <c r="C5" s="4">
        <v>39.026000000000003</v>
      </c>
      <c r="D5" s="6"/>
      <c r="E5" s="6"/>
    </row>
    <row r="6" spans="2:5" x14ac:dyDescent="0.45">
      <c r="B6" s="5">
        <v>5</v>
      </c>
      <c r="C6" s="4">
        <v>38.271000000000001</v>
      </c>
      <c r="D6" s="6"/>
      <c r="E6" s="6"/>
    </row>
    <row r="7" spans="2:5" x14ac:dyDescent="0.45">
      <c r="B7" s="5">
        <v>6</v>
      </c>
      <c r="C7" s="4">
        <v>35.743000000000002</v>
      </c>
      <c r="D7" s="6"/>
      <c r="E7" s="6"/>
    </row>
    <row r="8" spans="2:5" x14ac:dyDescent="0.45">
      <c r="B8" s="5">
        <v>7</v>
      </c>
      <c r="C8" s="4">
        <v>36.929000000000002</v>
      </c>
      <c r="D8" s="6"/>
      <c r="E8" s="6"/>
    </row>
    <row r="9" spans="2:5" x14ac:dyDescent="0.45">
      <c r="B9" s="1" t="s">
        <v>3</v>
      </c>
      <c r="C9" s="4">
        <v>7</v>
      </c>
      <c r="D9" s="6"/>
      <c r="E9" s="6"/>
    </row>
    <row r="10" spans="2:5" x14ac:dyDescent="0.45">
      <c r="B10" s="1" t="s">
        <v>4</v>
      </c>
      <c r="C10" s="7">
        <f>AVERAGE(C2:C8)</f>
        <v>33.981142857142864</v>
      </c>
      <c r="D10" s="6"/>
      <c r="E10" s="6"/>
    </row>
    <row r="11" spans="2:5" x14ac:dyDescent="0.45">
      <c r="C11">
        <f>SUM(C2:C8)</f>
        <v>237.86800000000002</v>
      </c>
      <c r="D11" s="6"/>
      <c r="E11" s="6"/>
    </row>
    <row r="12" spans="2:5" x14ac:dyDescent="0.45">
      <c r="D12" s="6"/>
      <c r="E12" s="6"/>
    </row>
    <row r="13" spans="2:5" x14ac:dyDescent="0.45">
      <c r="D13" s="6"/>
      <c r="E13" s="6"/>
    </row>
    <row r="14" spans="2:5" x14ac:dyDescent="0.45">
      <c r="D14" s="6"/>
      <c r="E14" s="6"/>
    </row>
    <row r="15" spans="2:5" x14ac:dyDescent="0.45">
      <c r="D15" s="6"/>
      <c r="E15" s="6"/>
    </row>
    <row r="16" spans="2:5" x14ac:dyDescent="0.45">
      <c r="D16" s="6"/>
      <c r="E16" s="6"/>
    </row>
    <row r="17" spans="4:5" x14ac:dyDescent="0.45">
      <c r="D17" s="6"/>
      <c r="E17" s="6"/>
    </row>
    <row r="18" spans="4:5" x14ac:dyDescent="0.45">
      <c r="D18" s="6"/>
      <c r="E18" s="6"/>
    </row>
    <row r="19" spans="4:5" x14ac:dyDescent="0.45">
      <c r="D19" s="6"/>
      <c r="E19" s="6"/>
    </row>
    <row r="20" spans="4:5" x14ac:dyDescent="0.45">
      <c r="D20" s="6"/>
      <c r="E20" s="6"/>
    </row>
    <row r="21" spans="4:5" x14ac:dyDescent="0.45">
      <c r="D21" s="6"/>
      <c r="E21" s="6"/>
    </row>
    <row r="22" spans="4:5" x14ac:dyDescent="0.45">
      <c r="D22" s="6"/>
      <c r="E22" s="6"/>
    </row>
    <row r="23" spans="4:5" x14ac:dyDescent="0.45">
      <c r="D23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19" sqref="B19"/>
    </sheetView>
  </sheetViews>
  <sheetFormatPr defaultRowHeight="14.25" x14ac:dyDescent="0.45"/>
  <cols>
    <col min="1" max="1" width="20.3984375" customWidth="1"/>
    <col min="2" max="2" width="18.066406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43.904000000000003</v>
      </c>
      <c r="C2" s="6"/>
      <c r="D2" s="4"/>
    </row>
    <row r="3" spans="1:4" x14ac:dyDescent="0.45">
      <c r="A3" s="5">
        <v>2</v>
      </c>
      <c r="B3" s="4">
        <v>19.157</v>
      </c>
      <c r="C3" s="6"/>
      <c r="D3" s="6"/>
    </row>
    <row r="4" spans="1:4" x14ac:dyDescent="0.45">
      <c r="A4" s="5">
        <v>3</v>
      </c>
      <c r="B4" s="4">
        <v>41.228000000000002</v>
      </c>
      <c r="C4" s="6"/>
      <c r="D4" s="6"/>
    </row>
    <row r="5" spans="1:4" x14ac:dyDescent="0.45">
      <c r="A5" s="5">
        <v>4</v>
      </c>
      <c r="B5" s="4">
        <v>16.881</v>
      </c>
      <c r="C5" s="6"/>
      <c r="D5" s="6"/>
    </row>
    <row r="6" spans="1:4" x14ac:dyDescent="0.45">
      <c r="A6" s="5">
        <v>5</v>
      </c>
      <c r="B6" s="4">
        <v>23.622</v>
      </c>
      <c r="C6" s="6"/>
      <c r="D6" s="6"/>
    </row>
    <row r="7" spans="1:4" x14ac:dyDescent="0.45">
      <c r="A7" s="5">
        <v>6</v>
      </c>
      <c r="B7" s="4">
        <v>5.0679999999999996</v>
      </c>
      <c r="C7" s="6"/>
      <c r="D7" s="6"/>
    </row>
    <row r="8" spans="1:4" x14ac:dyDescent="0.45">
      <c r="A8" s="5">
        <v>7</v>
      </c>
      <c r="B8" s="4">
        <v>25.773</v>
      </c>
      <c r="C8" s="6"/>
      <c r="D8" s="6"/>
    </row>
    <row r="9" spans="1:4" x14ac:dyDescent="0.45">
      <c r="A9" s="5">
        <v>8</v>
      </c>
      <c r="B9" s="4">
        <v>42.529000000000003</v>
      </c>
      <c r="C9" s="6"/>
      <c r="D9" s="6"/>
    </row>
    <row r="10" spans="1:4" x14ac:dyDescent="0.45">
      <c r="A10" s="5">
        <v>9</v>
      </c>
      <c r="B10" s="4">
        <v>32.520000000000003</v>
      </c>
      <c r="C10" s="6"/>
      <c r="D10" s="6"/>
    </row>
    <row r="11" spans="1:4" x14ac:dyDescent="0.45">
      <c r="A11" s="5">
        <v>10</v>
      </c>
      <c r="B11" s="4">
        <v>28.701000000000001</v>
      </c>
      <c r="C11" s="6"/>
      <c r="D11" s="6"/>
    </row>
    <row r="12" spans="1:4" x14ac:dyDescent="0.45">
      <c r="A12" s="5">
        <v>11</v>
      </c>
      <c r="B12" s="4">
        <v>25.475000000000001</v>
      </c>
      <c r="C12" s="6"/>
      <c r="D12" s="6"/>
    </row>
    <row r="13" spans="1:4" x14ac:dyDescent="0.45">
      <c r="A13" s="5">
        <v>12</v>
      </c>
      <c r="B13" s="4">
        <v>25.542000000000002</v>
      </c>
      <c r="C13" s="6"/>
      <c r="D13" s="6"/>
    </row>
    <row r="14" spans="1:4" x14ac:dyDescent="0.45">
      <c r="A14" s="5">
        <v>13</v>
      </c>
      <c r="B14" s="4">
        <v>36.228000000000002</v>
      </c>
      <c r="C14" s="6"/>
      <c r="D14" s="6"/>
    </row>
    <row r="15" spans="1:4" x14ac:dyDescent="0.45">
      <c r="A15" s="5">
        <v>14</v>
      </c>
      <c r="B15" s="4">
        <v>33.084000000000003</v>
      </c>
      <c r="C15" s="6"/>
      <c r="D15" s="6"/>
    </row>
    <row r="16" spans="1:4" x14ac:dyDescent="0.45">
      <c r="A16" s="5">
        <v>15</v>
      </c>
      <c r="B16" s="4">
        <v>27.347000000000001</v>
      </c>
      <c r="C16" s="6"/>
      <c r="D16" s="6"/>
    </row>
    <row r="17" spans="1:4" x14ac:dyDescent="0.45">
      <c r="A17" s="1" t="s">
        <v>3</v>
      </c>
      <c r="B17" s="4">
        <v>15</v>
      </c>
      <c r="C17" s="6"/>
      <c r="D17" s="6"/>
    </row>
    <row r="18" spans="1:4" x14ac:dyDescent="0.45">
      <c r="A18" s="1" t="s">
        <v>4</v>
      </c>
      <c r="B18" s="7">
        <f>AVERAGE(B2:B16)</f>
        <v>28.470600000000005</v>
      </c>
      <c r="C18" s="6"/>
      <c r="D18" s="6"/>
    </row>
    <row r="19" spans="1:4" x14ac:dyDescent="0.45">
      <c r="B19">
        <f>SUM(B2:B16)</f>
        <v>427.05900000000008</v>
      </c>
      <c r="C19" s="6"/>
      <c r="D19" s="6"/>
    </row>
    <row r="20" spans="1:4" x14ac:dyDescent="0.45">
      <c r="C20" s="6"/>
      <c r="D20" s="6"/>
    </row>
    <row r="21" spans="1:4" x14ac:dyDescent="0.45">
      <c r="C21" s="6"/>
      <c r="D21" s="6"/>
    </row>
    <row r="22" spans="1:4" x14ac:dyDescent="0.45">
      <c r="C22" s="6"/>
      <c r="D22" s="6"/>
    </row>
    <row r="23" spans="1:4" x14ac:dyDescent="0.45">
      <c r="C23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16" sqref="B16"/>
    </sheetView>
  </sheetViews>
  <sheetFormatPr defaultRowHeight="14.25" x14ac:dyDescent="0.45"/>
  <cols>
    <col min="1" max="1" width="19.332031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28.745000000000001</v>
      </c>
      <c r="C2" s="6"/>
      <c r="D2" s="4"/>
    </row>
    <row r="3" spans="1:4" x14ac:dyDescent="0.45">
      <c r="A3" s="5">
        <v>2</v>
      </c>
      <c r="B3" s="4">
        <v>34.991999999999997</v>
      </c>
      <c r="C3" s="6"/>
      <c r="D3" s="6"/>
    </row>
    <row r="4" spans="1:4" x14ac:dyDescent="0.45">
      <c r="A4" s="5">
        <v>3</v>
      </c>
      <c r="B4" s="4">
        <v>23.86</v>
      </c>
      <c r="C4" s="6"/>
      <c r="D4" s="6"/>
    </row>
    <row r="5" spans="1:4" x14ac:dyDescent="0.45">
      <c r="A5" s="5">
        <v>4</v>
      </c>
      <c r="B5" s="4">
        <v>21.114000000000001</v>
      </c>
      <c r="C5" s="6"/>
      <c r="D5" s="6"/>
    </row>
    <row r="6" spans="1:4" x14ac:dyDescent="0.45">
      <c r="A6" s="5">
        <v>5</v>
      </c>
      <c r="B6" s="4">
        <v>29.456</v>
      </c>
      <c r="C6" s="6"/>
      <c r="D6" s="6"/>
    </row>
    <row r="7" spans="1:4" x14ac:dyDescent="0.45">
      <c r="A7" s="5">
        <v>6</v>
      </c>
      <c r="B7" s="4">
        <v>59.771999999999998</v>
      </c>
      <c r="C7" s="6"/>
      <c r="D7" s="6"/>
    </row>
    <row r="8" spans="1:4" x14ac:dyDescent="0.45">
      <c r="A8" s="5">
        <v>7</v>
      </c>
      <c r="B8" s="4">
        <v>30.302</v>
      </c>
      <c r="C8" s="6"/>
      <c r="D8" s="6"/>
    </row>
    <row r="9" spans="1:4" x14ac:dyDescent="0.45">
      <c r="A9" s="5">
        <v>8</v>
      </c>
      <c r="B9" s="4">
        <v>54.604999999999997</v>
      </c>
      <c r="C9" s="6"/>
      <c r="D9" s="6"/>
    </row>
    <row r="10" spans="1:4" x14ac:dyDescent="0.45">
      <c r="A10" s="5">
        <v>9</v>
      </c>
      <c r="B10" s="4">
        <v>25.341999999999999</v>
      </c>
      <c r="C10" s="6"/>
      <c r="D10" s="6"/>
    </row>
    <row r="11" spans="1:4" x14ac:dyDescent="0.45">
      <c r="A11" s="5">
        <v>10</v>
      </c>
      <c r="B11" s="4">
        <v>39.406999999999996</v>
      </c>
      <c r="C11" s="6"/>
      <c r="D11" s="6"/>
    </row>
    <row r="12" spans="1:4" x14ac:dyDescent="0.45">
      <c r="A12" s="5">
        <v>11</v>
      </c>
      <c r="B12" s="4">
        <v>35.305</v>
      </c>
      <c r="C12" s="6"/>
      <c r="D12" s="6"/>
    </row>
    <row r="13" spans="1:4" x14ac:dyDescent="0.45">
      <c r="A13" s="5">
        <v>12</v>
      </c>
      <c r="B13" s="4">
        <v>35.545999999999999</v>
      </c>
      <c r="C13" s="6"/>
      <c r="D13" s="6"/>
    </row>
    <row r="14" spans="1:4" x14ac:dyDescent="0.45">
      <c r="A14" s="1" t="s">
        <v>3</v>
      </c>
      <c r="B14" s="4">
        <v>12</v>
      </c>
      <c r="C14" s="6"/>
      <c r="D14" s="6"/>
    </row>
    <row r="15" spans="1:4" x14ac:dyDescent="0.45">
      <c r="A15" s="1" t="s">
        <v>4</v>
      </c>
      <c r="B15" s="7">
        <f>AVERAGE(B2:B13)</f>
        <v>34.8705</v>
      </c>
      <c r="C15" s="6"/>
      <c r="D15" s="6"/>
    </row>
    <row r="16" spans="1:4" x14ac:dyDescent="0.45">
      <c r="B16">
        <f>SUM(B2:B13)</f>
        <v>418.44599999999997</v>
      </c>
      <c r="C16" s="6"/>
      <c r="D16" s="6"/>
    </row>
    <row r="17" spans="3:4" x14ac:dyDescent="0.45">
      <c r="C17" s="6"/>
      <c r="D17" s="6"/>
    </row>
    <row r="18" spans="3:4" x14ac:dyDescent="0.45">
      <c r="C18" s="6"/>
      <c r="D18" s="6"/>
    </row>
    <row r="19" spans="3:4" x14ac:dyDescent="0.45">
      <c r="C19" s="6"/>
      <c r="D19" s="6"/>
    </row>
    <row r="20" spans="3:4" x14ac:dyDescent="0.45">
      <c r="C20" s="6"/>
      <c r="D20" s="6"/>
    </row>
    <row r="21" spans="3:4" x14ac:dyDescent="0.45">
      <c r="C21" s="6"/>
      <c r="D21" s="6"/>
    </row>
    <row r="22" spans="3:4" x14ac:dyDescent="0.45">
      <c r="C22" s="6"/>
      <c r="D22" s="6"/>
    </row>
    <row r="23" spans="3:4" x14ac:dyDescent="0.45">
      <c r="C23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20" sqref="B20"/>
    </sheetView>
  </sheetViews>
  <sheetFormatPr defaultRowHeight="14.25" x14ac:dyDescent="0.45"/>
  <cols>
    <col min="1" max="1" width="20.79687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12.367000000000001</v>
      </c>
      <c r="C2" s="6"/>
      <c r="D2" s="4"/>
    </row>
    <row r="3" spans="1:4" x14ac:dyDescent="0.45">
      <c r="A3" s="5">
        <v>2</v>
      </c>
      <c r="B3" s="4">
        <v>33.51</v>
      </c>
      <c r="C3" s="6"/>
      <c r="D3" s="6"/>
    </row>
    <row r="4" spans="1:4" x14ac:dyDescent="0.45">
      <c r="A4" s="5">
        <v>3</v>
      </c>
      <c r="B4" s="4">
        <v>54.780999999999999</v>
      </c>
      <c r="C4" s="6"/>
      <c r="D4" s="6"/>
    </row>
    <row r="5" spans="1:4" x14ac:dyDescent="0.45">
      <c r="A5" s="5">
        <v>4</v>
      </c>
      <c r="B5" s="4">
        <v>11.163</v>
      </c>
      <c r="C5" s="6"/>
      <c r="D5" s="6"/>
    </row>
    <row r="6" spans="1:4" x14ac:dyDescent="0.45">
      <c r="A6" s="5">
        <v>5</v>
      </c>
      <c r="B6" s="4">
        <v>55.860999999999997</v>
      </c>
      <c r="C6" s="6"/>
      <c r="D6" s="6"/>
    </row>
    <row r="7" spans="1:4" x14ac:dyDescent="0.45">
      <c r="A7" s="5">
        <v>6</v>
      </c>
      <c r="B7" s="4">
        <v>37.006999999999998</v>
      </c>
      <c r="C7" s="6"/>
      <c r="D7" s="6"/>
    </row>
    <row r="8" spans="1:4" x14ac:dyDescent="0.45">
      <c r="A8" s="5">
        <v>7</v>
      </c>
      <c r="B8" s="4">
        <v>31.436</v>
      </c>
      <c r="C8" s="6"/>
      <c r="D8" s="6"/>
    </row>
    <row r="9" spans="1:4" x14ac:dyDescent="0.45">
      <c r="A9" s="5">
        <v>8</v>
      </c>
      <c r="B9" s="4">
        <v>27.916</v>
      </c>
      <c r="C9" s="6"/>
      <c r="D9" s="6"/>
    </row>
    <row r="10" spans="1:4" x14ac:dyDescent="0.45">
      <c r="A10" s="5">
        <v>9</v>
      </c>
      <c r="B10" s="4">
        <v>25.785</v>
      </c>
      <c r="C10" s="6"/>
      <c r="D10" s="6"/>
    </row>
    <row r="11" spans="1:4" x14ac:dyDescent="0.45">
      <c r="A11" s="5">
        <v>10</v>
      </c>
      <c r="B11" s="4">
        <v>15.766999999999999</v>
      </c>
      <c r="C11" s="6"/>
      <c r="D11" s="6"/>
    </row>
    <row r="12" spans="1:4" x14ac:dyDescent="0.45">
      <c r="A12" s="5">
        <v>11</v>
      </c>
      <c r="B12" s="4">
        <v>29.361999999999998</v>
      </c>
      <c r="C12" s="6"/>
      <c r="D12" s="6"/>
    </row>
    <row r="13" spans="1:4" x14ac:dyDescent="0.45">
      <c r="A13" s="5">
        <v>12</v>
      </c>
      <c r="B13" s="4">
        <v>50.472999999999999</v>
      </c>
      <c r="C13" s="6"/>
      <c r="D13" s="6"/>
    </row>
    <row r="14" spans="1:4" x14ac:dyDescent="0.45">
      <c r="A14" s="5">
        <v>13</v>
      </c>
      <c r="B14" s="4">
        <v>8.3379999999999992</v>
      </c>
      <c r="C14" s="6"/>
      <c r="D14" s="6"/>
    </row>
    <row r="15" spans="1:4" x14ac:dyDescent="0.45">
      <c r="A15" s="5">
        <v>14</v>
      </c>
      <c r="B15" s="4">
        <v>22.047999999999998</v>
      </c>
      <c r="C15" s="6"/>
      <c r="D15" s="6"/>
    </row>
    <row r="16" spans="1:4" x14ac:dyDescent="0.45">
      <c r="A16" s="5">
        <v>15</v>
      </c>
      <c r="B16" s="4">
        <v>35.786000000000001</v>
      </c>
      <c r="C16" s="6"/>
      <c r="D16" s="6"/>
    </row>
    <row r="17" spans="1:4" x14ac:dyDescent="0.45">
      <c r="A17" s="5">
        <v>16</v>
      </c>
      <c r="B17" s="4">
        <v>17.050999999999998</v>
      </c>
      <c r="C17" s="6"/>
      <c r="D17" s="6"/>
    </row>
    <row r="18" spans="1:4" x14ac:dyDescent="0.45">
      <c r="A18" s="1" t="s">
        <v>3</v>
      </c>
      <c r="B18" s="4">
        <v>16</v>
      </c>
      <c r="C18" s="6"/>
      <c r="D18" s="6"/>
    </row>
    <row r="19" spans="1:4" x14ac:dyDescent="0.45">
      <c r="A19" s="1" t="s">
        <v>4</v>
      </c>
      <c r="B19" s="7">
        <f>AVERAGE(B2:B17)</f>
        <v>29.290687500000004</v>
      </c>
      <c r="C19" s="6"/>
      <c r="D19" s="6"/>
    </row>
    <row r="20" spans="1:4" x14ac:dyDescent="0.45">
      <c r="B20">
        <f>SUM(B2:B17)</f>
        <v>468.65100000000007</v>
      </c>
      <c r="C20" s="6"/>
      <c r="D20" s="6"/>
    </row>
    <row r="21" spans="1:4" x14ac:dyDescent="0.45">
      <c r="C21" s="6"/>
      <c r="D21" s="6"/>
    </row>
    <row r="22" spans="1:4" x14ac:dyDescent="0.45">
      <c r="C22" s="6"/>
      <c r="D22" s="6"/>
    </row>
    <row r="23" spans="1:4" x14ac:dyDescent="0.45">
      <c r="C23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6" sqref="D6"/>
    </sheetView>
  </sheetViews>
  <sheetFormatPr defaultRowHeight="14.25" x14ac:dyDescent="0.45"/>
  <cols>
    <col min="1" max="1" width="18.13281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/>
      <c r="B2" s="4"/>
      <c r="C2" s="6"/>
      <c r="D2" s="4"/>
    </row>
    <row r="3" spans="1:4" x14ac:dyDescent="0.45">
      <c r="A3" s="5"/>
      <c r="B3" s="4"/>
      <c r="C3" s="6"/>
      <c r="D3" s="6"/>
    </row>
    <row r="4" spans="1:4" x14ac:dyDescent="0.45">
      <c r="A4" s="5"/>
      <c r="B4" s="4"/>
      <c r="C4" s="6"/>
      <c r="D4" s="6"/>
    </row>
    <row r="5" spans="1:4" x14ac:dyDescent="0.45">
      <c r="A5" s="5"/>
      <c r="B5" s="4"/>
      <c r="C5" s="6"/>
      <c r="D5" s="6"/>
    </row>
    <row r="6" spans="1:4" x14ac:dyDescent="0.45">
      <c r="A6" s="5"/>
      <c r="B6" s="4"/>
      <c r="C6" s="6"/>
      <c r="D6" s="6" t="s">
        <v>16</v>
      </c>
    </row>
    <row r="7" spans="1:4" x14ac:dyDescent="0.45">
      <c r="A7" s="5"/>
      <c r="B7" s="4"/>
      <c r="C7" s="6"/>
      <c r="D7" s="6"/>
    </row>
    <row r="8" spans="1:4" x14ac:dyDescent="0.45">
      <c r="A8" s="5"/>
      <c r="B8" s="4"/>
      <c r="C8" s="6"/>
      <c r="D8" s="6"/>
    </row>
    <row r="9" spans="1:4" x14ac:dyDescent="0.45">
      <c r="A9" s="5"/>
      <c r="B9" s="4"/>
      <c r="C9" s="6"/>
      <c r="D9" s="6"/>
    </row>
    <row r="10" spans="1:4" x14ac:dyDescent="0.45">
      <c r="A10" s="5"/>
      <c r="B10" s="4"/>
      <c r="C10" s="6"/>
      <c r="D10" s="6"/>
    </row>
    <row r="11" spans="1:4" x14ac:dyDescent="0.45">
      <c r="A11" s="5"/>
      <c r="B11" s="4"/>
      <c r="C11" s="6"/>
      <c r="D11" s="6"/>
    </row>
    <row r="12" spans="1:4" x14ac:dyDescent="0.45">
      <c r="A12" s="5"/>
      <c r="B12" s="4"/>
      <c r="C12" s="6"/>
      <c r="D12" s="6"/>
    </row>
    <row r="13" spans="1:4" x14ac:dyDescent="0.45">
      <c r="A13" s="5"/>
      <c r="B13" s="4"/>
      <c r="C13" s="6"/>
      <c r="D13" s="6"/>
    </row>
    <row r="14" spans="1:4" x14ac:dyDescent="0.45">
      <c r="A14" s="5"/>
      <c r="B14" s="4"/>
      <c r="C14" s="6"/>
      <c r="D14" s="6"/>
    </row>
    <row r="15" spans="1:4" x14ac:dyDescent="0.45">
      <c r="A15" s="5"/>
      <c r="B15" s="4"/>
      <c r="C15" s="6"/>
      <c r="D15" s="6"/>
    </row>
    <row r="16" spans="1:4" x14ac:dyDescent="0.45">
      <c r="A16" s="5"/>
      <c r="B16" s="4"/>
      <c r="C16" s="6"/>
      <c r="D16" s="6"/>
    </row>
    <row r="17" spans="1:4" x14ac:dyDescent="0.45">
      <c r="A17" s="5"/>
      <c r="B17" s="4"/>
      <c r="C17" s="6"/>
      <c r="D17" s="6"/>
    </row>
    <row r="18" spans="1:4" x14ac:dyDescent="0.45">
      <c r="A18" s="5"/>
      <c r="B18" s="4"/>
      <c r="C18" s="6"/>
      <c r="D18" s="6"/>
    </row>
    <row r="19" spans="1:4" x14ac:dyDescent="0.45">
      <c r="A19" s="5"/>
      <c r="B19" s="4"/>
      <c r="C19" s="6"/>
      <c r="D19" s="6"/>
    </row>
    <row r="20" spans="1:4" x14ac:dyDescent="0.45">
      <c r="A20" s="5"/>
      <c r="B20" s="4"/>
      <c r="C20" s="6"/>
      <c r="D20" s="6"/>
    </row>
    <row r="21" spans="1:4" x14ac:dyDescent="0.45">
      <c r="A21" s="5"/>
      <c r="B21" s="4"/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/>
      <c r="C23" s="6"/>
    </row>
    <row r="24" spans="1:4" x14ac:dyDescent="0.45">
      <c r="A24" s="1" t="s">
        <v>4</v>
      </c>
      <c r="B24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.13281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21.513999999999999</v>
      </c>
      <c r="C2" s="6"/>
      <c r="D2" s="4"/>
    </row>
    <row r="3" spans="1:4" x14ac:dyDescent="0.45">
      <c r="A3" s="5">
        <v>2</v>
      </c>
      <c r="B3" s="4">
        <v>14.074</v>
      </c>
      <c r="C3" s="6"/>
      <c r="D3" s="6"/>
    </row>
    <row r="4" spans="1:4" x14ac:dyDescent="0.45">
      <c r="A4" s="5">
        <v>3</v>
      </c>
      <c r="B4" s="4">
        <v>29.454999999999998</v>
      </c>
      <c r="C4" s="6"/>
      <c r="D4" s="6"/>
    </row>
    <row r="5" spans="1:4" x14ac:dyDescent="0.45">
      <c r="A5" s="9">
        <v>4</v>
      </c>
      <c r="B5" s="10">
        <v>4.21</v>
      </c>
      <c r="C5" s="6"/>
      <c r="D5" s="6"/>
    </row>
    <row r="6" spans="1:4" x14ac:dyDescent="0.45">
      <c r="A6" s="5">
        <v>5</v>
      </c>
      <c r="B6" s="4">
        <v>33.380000000000003</v>
      </c>
      <c r="C6" s="6"/>
      <c r="D6" s="6"/>
    </row>
    <row r="7" spans="1:4" x14ac:dyDescent="0.45">
      <c r="A7" s="5">
        <v>6</v>
      </c>
      <c r="B7" s="4">
        <v>17.751999999999999</v>
      </c>
      <c r="C7" s="6"/>
      <c r="D7" s="6"/>
    </row>
    <row r="8" spans="1:4" x14ac:dyDescent="0.45">
      <c r="A8" s="5">
        <v>7</v>
      </c>
      <c r="B8" s="4">
        <v>18.797999999999998</v>
      </c>
      <c r="C8" s="6"/>
      <c r="D8" s="6"/>
    </row>
    <row r="9" spans="1:4" x14ac:dyDescent="0.45">
      <c r="A9" s="5">
        <v>8</v>
      </c>
      <c r="B9" s="4">
        <v>54.082000000000001</v>
      </c>
      <c r="C9" s="6"/>
      <c r="D9" s="6"/>
    </row>
    <row r="10" spans="1:4" x14ac:dyDescent="0.45">
      <c r="A10" s="5">
        <v>9</v>
      </c>
      <c r="B10" s="4">
        <v>15.653</v>
      </c>
      <c r="C10" s="6"/>
      <c r="D10" s="6"/>
    </row>
    <row r="11" spans="1:4" x14ac:dyDescent="0.45">
      <c r="A11" s="5">
        <v>10</v>
      </c>
      <c r="B11" s="4">
        <v>17.625</v>
      </c>
      <c r="C11" s="6"/>
      <c r="D11" s="6"/>
    </row>
    <row r="12" spans="1:4" x14ac:dyDescent="0.45">
      <c r="A12" s="5">
        <v>11</v>
      </c>
      <c r="B12" s="4">
        <v>17.501000000000001</v>
      </c>
      <c r="C12" s="6"/>
      <c r="D12" s="6"/>
    </row>
    <row r="13" spans="1:4" x14ac:dyDescent="0.45">
      <c r="A13" s="5">
        <v>12</v>
      </c>
      <c r="B13" s="4">
        <v>8.6590000000000007</v>
      </c>
      <c r="C13" s="6"/>
      <c r="D13" s="6"/>
    </row>
    <row r="14" spans="1:4" x14ac:dyDescent="0.45">
      <c r="A14" s="5">
        <v>13</v>
      </c>
      <c r="B14" s="4">
        <v>18.206</v>
      </c>
      <c r="C14" s="6"/>
      <c r="D14" s="6"/>
    </row>
    <row r="15" spans="1:4" x14ac:dyDescent="0.45">
      <c r="A15" s="5">
        <v>14</v>
      </c>
      <c r="B15" s="4">
        <v>21.818999999999999</v>
      </c>
      <c r="C15" s="6"/>
      <c r="D15" s="6"/>
    </row>
    <row r="16" spans="1:4" x14ac:dyDescent="0.45">
      <c r="A16" s="5">
        <v>15</v>
      </c>
      <c r="B16" s="4">
        <v>18.193999999999999</v>
      </c>
      <c r="C16" s="6"/>
      <c r="D16" s="6"/>
    </row>
    <row r="17" spans="1:4" x14ac:dyDescent="0.45">
      <c r="A17" s="5">
        <v>16</v>
      </c>
      <c r="B17" s="4">
        <v>18.102</v>
      </c>
      <c r="C17" s="6"/>
      <c r="D17" s="6"/>
    </row>
    <row r="18" spans="1:4" x14ac:dyDescent="0.45">
      <c r="A18" s="5">
        <v>17</v>
      </c>
      <c r="B18" s="4">
        <v>10.17</v>
      </c>
      <c r="C18" s="6"/>
      <c r="D18" s="6"/>
    </row>
    <row r="19" spans="1:4" x14ac:dyDescent="0.45">
      <c r="A19" s="5">
        <v>18</v>
      </c>
      <c r="B19" s="4">
        <v>20.059000000000001</v>
      </c>
      <c r="C19" s="6"/>
      <c r="D19" s="6"/>
    </row>
    <row r="20" spans="1:4" x14ac:dyDescent="0.45">
      <c r="A20" s="5">
        <v>19</v>
      </c>
      <c r="B20" s="4">
        <v>8.51</v>
      </c>
      <c r="C20" s="6"/>
      <c r="D20" s="6"/>
    </row>
    <row r="21" spans="1:4" x14ac:dyDescent="0.45">
      <c r="A21" s="5">
        <v>20</v>
      </c>
      <c r="B21" s="4">
        <v>18.372</v>
      </c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>
        <v>19</v>
      </c>
      <c r="C23" s="6"/>
    </row>
    <row r="24" spans="1:4" x14ac:dyDescent="0.45">
      <c r="A24" s="1" t="s">
        <v>4</v>
      </c>
      <c r="B24" s="7">
        <f>AVERAGE(B2:B4,B6:B21)</f>
        <v>20.101315789473684</v>
      </c>
    </row>
    <row r="25" spans="1:4" x14ac:dyDescent="0.45">
      <c r="B25">
        <f>SUM(B2:B4,B6:B21)</f>
        <v>381.92500000000001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sqref="A1:D24"/>
    </sheetView>
  </sheetViews>
  <sheetFormatPr defaultRowHeight="14.25" x14ac:dyDescent="0.45"/>
  <cols>
    <col min="1" max="1" width="19.332031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/>
      <c r="B2" s="4"/>
      <c r="C2" s="6"/>
      <c r="D2" s="4"/>
    </row>
    <row r="3" spans="1:4" x14ac:dyDescent="0.45">
      <c r="A3" s="5"/>
      <c r="B3" s="4"/>
      <c r="C3" s="6"/>
      <c r="D3" s="6"/>
    </row>
    <row r="4" spans="1:4" x14ac:dyDescent="0.45">
      <c r="A4" s="5"/>
      <c r="B4" s="4"/>
      <c r="C4" s="6"/>
      <c r="D4" s="6"/>
    </row>
    <row r="5" spans="1:4" x14ac:dyDescent="0.45">
      <c r="A5" s="5"/>
      <c r="B5" s="4"/>
      <c r="C5" s="6"/>
      <c r="D5" s="6"/>
    </row>
    <row r="6" spans="1:4" x14ac:dyDescent="0.45">
      <c r="A6" s="5"/>
      <c r="B6" s="4"/>
      <c r="C6" s="6"/>
      <c r="D6" s="6" t="s">
        <v>17</v>
      </c>
    </row>
    <row r="7" spans="1:4" x14ac:dyDescent="0.45">
      <c r="A7" s="5"/>
      <c r="B7" s="4"/>
      <c r="C7" s="6"/>
      <c r="D7" s="6"/>
    </row>
    <row r="8" spans="1:4" x14ac:dyDescent="0.45">
      <c r="A8" s="5"/>
      <c r="B8" s="4"/>
      <c r="C8" s="6"/>
      <c r="D8" s="6"/>
    </row>
    <row r="9" spans="1:4" x14ac:dyDescent="0.45">
      <c r="A9" s="5"/>
      <c r="B9" s="4"/>
      <c r="C9" s="6"/>
      <c r="D9" s="6"/>
    </row>
    <row r="10" spans="1:4" x14ac:dyDescent="0.45">
      <c r="A10" s="5"/>
      <c r="B10" s="4"/>
      <c r="C10" s="6"/>
      <c r="D10" s="6"/>
    </row>
    <row r="11" spans="1:4" x14ac:dyDescent="0.45">
      <c r="A11" s="5"/>
      <c r="B11" s="4"/>
      <c r="C11" s="6"/>
      <c r="D11" s="6"/>
    </row>
    <row r="12" spans="1:4" x14ac:dyDescent="0.45">
      <c r="A12" s="5"/>
      <c r="B12" s="4"/>
      <c r="C12" s="6"/>
      <c r="D12" s="6"/>
    </row>
    <row r="13" spans="1:4" x14ac:dyDescent="0.45">
      <c r="A13" s="5"/>
      <c r="B13" s="4"/>
      <c r="C13" s="6"/>
      <c r="D13" s="6"/>
    </row>
    <row r="14" spans="1:4" x14ac:dyDescent="0.45">
      <c r="A14" s="5"/>
      <c r="B14" s="4"/>
      <c r="C14" s="6"/>
      <c r="D14" s="6"/>
    </row>
    <row r="15" spans="1:4" x14ac:dyDescent="0.45">
      <c r="A15" s="5"/>
      <c r="B15" s="4"/>
      <c r="C15" s="6"/>
      <c r="D15" s="6"/>
    </row>
    <row r="16" spans="1:4" x14ac:dyDescent="0.45">
      <c r="A16" s="5"/>
      <c r="B16" s="4"/>
      <c r="C16" s="6"/>
      <c r="D16" s="6"/>
    </row>
    <row r="17" spans="1:4" x14ac:dyDescent="0.45">
      <c r="A17" s="5"/>
      <c r="B17" s="4"/>
      <c r="C17" s="6"/>
      <c r="D17" s="6"/>
    </row>
    <row r="18" spans="1:4" x14ac:dyDescent="0.45">
      <c r="A18" s="5"/>
      <c r="B18" s="4"/>
      <c r="C18" s="6"/>
      <c r="D18" s="6"/>
    </row>
    <row r="19" spans="1:4" x14ac:dyDescent="0.45">
      <c r="A19" s="5"/>
      <c r="B19" s="4"/>
      <c r="C19" s="6"/>
      <c r="D19" s="6"/>
    </row>
    <row r="20" spans="1:4" x14ac:dyDescent="0.45">
      <c r="A20" s="5"/>
      <c r="B20" s="4"/>
      <c r="C20" s="6"/>
      <c r="D20" s="6"/>
    </row>
    <row r="21" spans="1:4" x14ac:dyDescent="0.45">
      <c r="A21" s="5"/>
      <c r="B21" s="4"/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/>
      <c r="C23" s="6"/>
    </row>
    <row r="24" spans="1:4" x14ac:dyDescent="0.45">
      <c r="A24" s="1" t="s">
        <v>4</v>
      </c>
      <c r="B24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sqref="A1:D24"/>
    </sheetView>
  </sheetViews>
  <sheetFormatPr defaultRowHeight="14.25" x14ac:dyDescent="0.45"/>
  <cols>
    <col min="1" max="1" width="21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/>
      <c r="B2" s="4"/>
      <c r="C2" s="6"/>
      <c r="D2" s="4"/>
    </row>
    <row r="3" spans="1:4" x14ac:dyDescent="0.45">
      <c r="A3" s="5"/>
      <c r="B3" s="4"/>
      <c r="C3" s="6"/>
      <c r="D3" s="6"/>
    </row>
    <row r="4" spans="1:4" x14ac:dyDescent="0.45">
      <c r="A4" s="5"/>
      <c r="B4" s="4"/>
      <c r="C4" s="6"/>
      <c r="D4" s="6"/>
    </row>
    <row r="5" spans="1:4" x14ac:dyDescent="0.45">
      <c r="A5" s="5"/>
      <c r="B5" s="4"/>
      <c r="C5" s="6"/>
      <c r="D5" s="6"/>
    </row>
    <row r="6" spans="1:4" x14ac:dyDescent="0.45">
      <c r="A6" s="5"/>
      <c r="B6" s="4"/>
      <c r="C6" s="6"/>
      <c r="D6" s="6" t="s">
        <v>17</v>
      </c>
    </row>
    <row r="7" spans="1:4" x14ac:dyDescent="0.45">
      <c r="A7" s="5"/>
      <c r="B7" s="4"/>
      <c r="C7" s="6"/>
      <c r="D7" s="6"/>
    </row>
    <row r="8" spans="1:4" x14ac:dyDescent="0.45">
      <c r="A8" s="5"/>
      <c r="B8" s="4"/>
      <c r="C8" s="6"/>
      <c r="D8" s="6"/>
    </row>
    <row r="9" spans="1:4" x14ac:dyDescent="0.45">
      <c r="A9" s="5"/>
      <c r="B9" s="4"/>
      <c r="C9" s="6"/>
      <c r="D9" s="6"/>
    </row>
    <row r="10" spans="1:4" x14ac:dyDescent="0.45">
      <c r="A10" s="5"/>
      <c r="B10" s="4"/>
      <c r="C10" s="6"/>
      <c r="D10" s="6"/>
    </row>
    <row r="11" spans="1:4" x14ac:dyDescent="0.45">
      <c r="A11" s="5"/>
      <c r="B11" s="4"/>
      <c r="C11" s="6"/>
      <c r="D11" s="6"/>
    </row>
    <row r="12" spans="1:4" x14ac:dyDescent="0.45">
      <c r="A12" s="5"/>
      <c r="B12" s="4"/>
      <c r="C12" s="6"/>
      <c r="D12" s="6"/>
    </row>
    <row r="13" spans="1:4" x14ac:dyDescent="0.45">
      <c r="A13" s="5"/>
      <c r="B13" s="4"/>
      <c r="C13" s="6"/>
      <c r="D13" s="6"/>
    </row>
    <row r="14" spans="1:4" x14ac:dyDescent="0.45">
      <c r="A14" s="5"/>
      <c r="B14" s="4"/>
      <c r="C14" s="6"/>
      <c r="D14" s="6"/>
    </row>
    <row r="15" spans="1:4" x14ac:dyDescent="0.45">
      <c r="A15" s="5"/>
      <c r="B15" s="4"/>
      <c r="C15" s="6"/>
      <c r="D15" s="6"/>
    </row>
    <row r="16" spans="1:4" x14ac:dyDescent="0.45">
      <c r="A16" s="5"/>
      <c r="B16" s="4"/>
      <c r="C16" s="6"/>
      <c r="D16" s="6"/>
    </row>
    <row r="17" spans="1:4" x14ac:dyDescent="0.45">
      <c r="A17" s="5"/>
      <c r="B17" s="4"/>
      <c r="C17" s="6"/>
      <c r="D17" s="6"/>
    </row>
    <row r="18" spans="1:4" x14ac:dyDescent="0.45">
      <c r="A18" s="5"/>
      <c r="B18" s="4"/>
      <c r="C18" s="6"/>
      <c r="D18" s="6"/>
    </row>
    <row r="19" spans="1:4" x14ac:dyDescent="0.45">
      <c r="A19" s="5"/>
      <c r="B19" s="4"/>
      <c r="C19" s="6"/>
      <c r="D19" s="6"/>
    </row>
    <row r="20" spans="1:4" x14ac:dyDescent="0.45">
      <c r="A20" s="5"/>
      <c r="B20" s="4"/>
      <c r="C20" s="6"/>
      <c r="D20" s="6"/>
    </row>
    <row r="21" spans="1:4" x14ac:dyDescent="0.45">
      <c r="A21" s="5"/>
      <c r="B21" s="4"/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/>
      <c r="C23" s="6"/>
    </row>
    <row r="24" spans="1:4" x14ac:dyDescent="0.45">
      <c r="A24" s="1" t="s">
        <v>4</v>
      </c>
      <c r="B24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E10" sqref="E10"/>
    </sheetView>
  </sheetViews>
  <sheetFormatPr defaultRowHeight="14.25" x14ac:dyDescent="0.45"/>
  <cols>
    <col min="1" max="1" width="17.597656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/>
      <c r="B2" s="4"/>
      <c r="C2" s="6"/>
      <c r="D2" s="4"/>
    </row>
    <row r="3" spans="1:4" x14ac:dyDescent="0.45">
      <c r="A3" s="5"/>
      <c r="B3" s="4"/>
      <c r="C3" s="6"/>
      <c r="D3" s="6"/>
    </row>
    <row r="4" spans="1:4" x14ac:dyDescent="0.45">
      <c r="A4" s="5"/>
      <c r="B4" s="4"/>
      <c r="C4" s="6"/>
      <c r="D4" s="6"/>
    </row>
    <row r="5" spans="1:4" x14ac:dyDescent="0.45">
      <c r="A5" s="5"/>
      <c r="B5" s="4"/>
      <c r="C5" s="6"/>
      <c r="D5" s="6"/>
    </row>
    <row r="6" spans="1:4" x14ac:dyDescent="0.45">
      <c r="A6" s="5"/>
      <c r="B6" s="4"/>
      <c r="C6" s="6"/>
      <c r="D6" s="6" t="s">
        <v>18</v>
      </c>
    </row>
    <row r="7" spans="1:4" x14ac:dyDescent="0.45">
      <c r="A7" s="5"/>
      <c r="B7" s="4"/>
      <c r="C7" s="6"/>
      <c r="D7" s="6"/>
    </row>
    <row r="8" spans="1:4" x14ac:dyDescent="0.45">
      <c r="A8" s="5"/>
      <c r="B8" s="4"/>
      <c r="C8" s="6"/>
      <c r="D8" s="6"/>
    </row>
    <row r="9" spans="1:4" x14ac:dyDescent="0.45">
      <c r="A9" s="5"/>
      <c r="B9" s="4"/>
      <c r="C9" s="6"/>
      <c r="D9" s="6"/>
    </row>
    <row r="10" spans="1:4" x14ac:dyDescent="0.45">
      <c r="A10" s="5"/>
      <c r="B10" s="4"/>
      <c r="C10" s="6"/>
      <c r="D10" s="6"/>
    </row>
    <row r="11" spans="1:4" x14ac:dyDescent="0.45">
      <c r="A11" s="5"/>
      <c r="B11" s="4"/>
      <c r="C11" s="6"/>
      <c r="D11" s="6"/>
    </row>
    <row r="12" spans="1:4" x14ac:dyDescent="0.45">
      <c r="A12" s="5"/>
      <c r="B12" s="4"/>
      <c r="C12" s="6"/>
      <c r="D12" s="6"/>
    </row>
    <row r="13" spans="1:4" x14ac:dyDescent="0.45">
      <c r="A13" s="5"/>
      <c r="B13" s="4"/>
      <c r="C13" s="6"/>
      <c r="D13" s="6"/>
    </row>
    <row r="14" spans="1:4" x14ac:dyDescent="0.45">
      <c r="A14" s="5"/>
      <c r="B14" s="4"/>
      <c r="C14" s="6"/>
      <c r="D14" s="6"/>
    </row>
    <row r="15" spans="1:4" x14ac:dyDescent="0.45">
      <c r="A15" s="5"/>
      <c r="B15" s="4"/>
      <c r="C15" s="6"/>
      <c r="D15" s="6"/>
    </row>
    <row r="16" spans="1:4" x14ac:dyDescent="0.45">
      <c r="A16" s="5"/>
      <c r="B16" s="4"/>
      <c r="C16" s="6"/>
      <c r="D16" s="6"/>
    </row>
    <row r="17" spans="1:4" x14ac:dyDescent="0.45">
      <c r="A17" s="5"/>
      <c r="B17" s="4"/>
      <c r="C17" s="6"/>
      <c r="D17" s="6"/>
    </row>
    <row r="18" spans="1:4" x14ac:dyDescent="0.45">
      <c r="A18" s="5"/>
      <c r="B18" s="4"/>
      <c r="C18" s="6"/>
      <c r="D18" s="6"/>
    </row>
    <row r="19" spans="1:4" x14ac:dyDescent="0.45">
      <c r="A19" s="5"/>
      <c r="B19" s="4"/>
      <c r="C19" s="6"/>
      <c r="D19" s="6"/>
    </row>
    <row r="20" spans="1:4" x14ac:dyDescent="0.45">
      <c r="A20" s="5"/>
      <c r="B20" s="4"/>
      <c r="C20" s="6"/>
      <c r="D20" s="6"/>
    </row>
    <row r="21" spans="1:4" x14ac:dyDescent="0.45">
      <c r="A21" s="5"/>
      <c r="B21" s="4"/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/>
      <c r="C23" s="6"/>
    </row>
    <row r="24" spans="1:4" x14ac:dyDescent="0.45">
      <c r="A24" s="1" t="s">
        <v>4</v>
      </c>
      <c r="B24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.929687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32.228000000000002</v>
      </c>
      <c r="C2" s="6"/>
      <c r="D2" s="4"/>
    </row>
    <row r="3" spans="1:4" x14ac:dyDescent="0.45">
      <c r="A3" s="5">
        <v>2</v>
      </c>
      <c r="B3" s="4">
        <v>29.957999999999998</v>
      </c>
      <c r="C3" s="6"/>
      <c r="D3" s="6"/>
    </row>
    <row r="4" spans="1:4" x14ac:dyDescent="0.45">
      <c r="A4" s="5">
        <v>3</v>
      </c>
      <c r="B4" s="4">
        <v>25.067</v>
      </c>
      <c r="C4" s="6"/>
      <c r="D4" s="6"/>
    </row>
    <row r="5" spans="1:4" x14ac:dyDescent="0.45">
      <c r="A5" s="5">
        <v>4</v>
      </c>
      <c r="B5" s="4">
        <v>28.936</v>
      </c>
      <c r="C5" s="6"/>
      <c r="D5" s="6"/>
    </row>
    <row r="6" spans="1:4" x14ac:dyDescent="0.45">
      <c r="A6" s="5">
        <v>5</v>
      </c>
      <c r="B6" s="4">
        <v>15.752000000000001</v>
      </c>
      <c r="C6" s="6"/>
      <c r="D6" s="6" t="s">
        <v>17</v>
      </c>
    </row>
    <row r="7" spans="1:4" x14ac:dyDescent="0.45">
      <c r="A7" s="5">
        <v>6</v>
      </c>
      <c r="B7" s="4">
        <v>20.388999999999999</v>
      </c>
      <c r="C7" s="6"/>
      <c r="D7" s="6"/>
    </row>
    <row r="8" spans="1:4" x14ac:dyDescent="0.45">
      <c r="A8" s="5">
        <v>7</v>
      </c>
      <c r="B8" s="4">
        <v>46.817</v>
      </c>
      <c r="C8" s="6"/>
      <c r="D8" s="6"/>
    </row>
    <row r="9" spans="1:4" x14ac:dyDescent="0.45">
      <c r="A9" s="5">
        <v>8</v>
      </c>
      <c r="B9" s="4">
        <v>18.248000000000001</v>
      </c>
      <c r="C9" s="6"/>
      <c r="D9" s="6"/>
    </row>
    <row r="10" spans="1:4" x14ac:dyDescent="0.45">
      <c r="A10" s="5">
        <v>9</v>
      </c>
      <c r="B10" s="4">
        <v>15.294</v>
      </c>
      <c r="C10" s="6"/>
      <c r="D10" s="6"/>
    </row>
    <row r="11" spans="1:4" x14ac:dyDescent="0.45">
      <c r="A11" s="5">
        <v>10</v>
      </c>
      <c r="B11" s="4">
        <v>22.846</v>
      </c>
      <c r="C11" s="6"/>
      <c r="D11" s="6"/>
    </row>
    <row r="12" spans="1:4" x14ac:dyDescent="0.45">
      <c r="A12" s="5">
        <v>11</v>
      </c>
      <c r="B12" s="4">
        <v>21.681999999999999</v>
      </c>
      <c r="C12" s="6"/>
      <c r="D12" s="6"/>
    </row>
    <row r="13" spans="1:4" x14ac:dyDescent="0.45">
      <c r="A13" s="5">
        <v>12</v>
      </c>
      <c r="B13" s="4">
        <v>21.774000000000001</v>
      </c>
      <c r="C13" s="6"/>
      <c r="D13" s="6"/>
    </row>
    <row r="14" spans="1:4" x14ac:dyDescent="0.45">
      <c r="A14" s="5">
        <v>13</v>
      </c>
      <c r="B14" s="4">
        <v>22.725000000000001</v>
      </c>
      <c r="C14" s="6"/>
      <c r="D14" s="6"/>
    </row>
    <row r="15" spans="1:4" x14ac:dyDescent="0.45">
      <c r="A15" s="5">
        <v>14</v>
      </c>
      <c r="B15" s="4">
        <v>26.870999999999999</v>
      </c>
      <c r="C15" s="6"/>
      <c r="D15" s="6"/>
    </row>
    <row r="16" spans="1:4" x14ac:dyDescent="0.45">
      <c r="A16" s="5">
        <v>15</v>
      </c>
      <c r="B16" s="4">
        <v>34.854999999999997</v>
      </c>
      <c r="C16" s="6"/>
      <c r="D16" s="6"/>
    </row>
    <row r="17" spans="1:4" x14ac:dyDescent="0.45">
      <c r="A17" s="5">
        <v>16</v>
      </c>
      <c r="B17" s="4">
        <v>28.6</v>
      </c>
      <c r="C17" s="6"/>
      <c r="D17" s="6"/>
    </row>
    <row r="18" spans="1:4" x14ac:dyDescent="0.45">
      <c r="A18" s="5">
        <v>17</v>
      </c>
      <c r="B18" s="4">
        <v>18.765999999999998</v>
      </c>
      <c r="C18" s="6"/>
      <c r="D18" s="6"/>
    </row>
    <row r="19" spans="1:4" x14ac:dyDescent="0.45">
      <c r="A19" s="5">
        <v>18</v>
      </c>
      <c r="B19" s="4">
        <v>14.021000000000001</v>
      </c>
      <c r="C19" s="6"/>
      <c r="D19" s="6"/>
    </row>
    <row r="20" spans="1:4" x14ac:dyDescent="0.45">
      <c r="A20" s="5">
        <v>19</v>
      </c>
      <c r="B20" s="4">
        <v>25.140999999999998</v>
      </c>
      <c r="C20" s="6"/>
      <c r="D20" s="6"/>
    </row>
    <row r="21" spans="1:4" x14ac:dyDescent="0.45">
      <c r="A21" s="5">
        <v>20</v>
      </c>
      <c r="B21" s="4">
        <v>18.289000000000001</v>
      </c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>
        <v>20</v>
      </c>
      <c r="C23" s="6"/>
    </row>
    <row r="24" spans="1:4" x14ac:dyDescent="0.45">
      <c r="A24" s="1" t="s">
        <v>4</v>
      </c>
      <c r="B24" s="7">
        <f>AVERAGE(B2:B21)</f>
        <v>24.412950000000006</v>
      </c>
    </row>
    <row r="25" spans="1:4" x14ac:dyDescent="0.45">
      <c r="B25">
        <f>SUM(B2:B21)</f>
        <v>488.25900000000013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12" sqref="B12"/>
    </sheetView>
  </sheetViews>
  <sheetFormatPr defaultRowHeight="14.25" x14ac:dyDescent="0.45"/>
  <cols>
    <col min="1" max="1" width="18.66406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40.088999999999999</v>
      </c>
      <c r="C2" s="6"/>
      <c r="D2" s="4"/>
    </row>
    <row r="3" spans="1:4" x14ac:dyDescent="0.45">
      <c r="A3" s="5">
        <v>2</v>
      </c>
      <c r="B3" s="4">
        <v>35.776000000000003</v>
      </c>
      <c r="C3" s="6"/>
      <c r="D3" s="6"/>
    </row>
    <row r="4" spans="1:4" x14ac:dyDescent="0.45">
      <c r="A4" s="5">
        <v>3</v>
      </c>
      <c r="B4" s="4">
        <v>34.363999999999997</v>
      </c>
      <c r="C4" s="6"/>
      <c r="D4" s="6"/>
    </row>
    <row r="5" spans="1:4" x14ac:dyDescent="0.45">
      <c r="A5" s="5">
        <v>4</v>
      </c>
      <c r="B5" s="4">
        <v>13.552</v>
      </c>
      <c r="C5" s="6"/>
      <c r="D5" s="6"/>
    </row>
    <row r="6" spans="1:4" x14ac:dyDescent="0.45">
      <c r="A6" s="5">
        <v>5</v>
      </c>
      <c r="B6" s="4">
        <v>35.826000000000001</v>
      </c>
      <c r="C6" s="6"/>
      <c r="D6" s="6"/>
    </row>
    <row r="7" spans="1:4" x14ac:dyDescent="0.45">
      <c r="A7" s="9">
        <v>6</v>
      </c>
      <c r="B7" s="10">
        <v>4.915</v>
      </c>
      <c r="C7" s="6"/>
      <c r="D7" s="6"/>
    </row>
    <row r="8" spans="1:4" x14ac:dyDescent="0.45">
      <c r="A8" s="5">
        <v>7</v>
      </c>
      <c r="B8" s="4">
        <v>72.793999999999997</v>
      </c>
      <c r="C8" s="6"/>
      <c r="D8" s="6"/>
    </row>
    <row r="9" spans="1:4" x14ac:dyDescent="0.45">
      <c r="A9" s="5">
        <v>8</v>
      </c>
      <c r="B9" s="4">
        <v>38.459000000000003</v>
      </c>
      <c r="C9" s="6"/>
      <c r="D9" s="6"/>
    </row>
    <row r="10" spans="1:4" x14ac:dyDescent="0.45">
      <c r="A10" s="1" t="s">
        <v>3</v>
      </c>
      <c r="B10" s="4">
        <v>7</v>
      </c>
      <c r="C10" s="6"/>
      <c r="D10" s="6"/>
    </row>
    <row r="11" spans="1:4" x14ac:dyDescent="0.45">
      <c r="A11" s="1" t="s">
        <v>4</v>
      </c>
      <c r="B11" s="7">
        <f>AVERAGE(B2:B6,B8:B9)</f>
        <v>38.694285714285719</v>
      </c>
      <c r="C11" s="6"/>
      <c r="D11" s="6"/>
    </row>
    <row r="12" spans="1:4" x14ac:dyDescent="0.45">
      <c r="B12">
        <f>SUM(B2:B6,B8:B9)</f>
        <v>270.86</v>
      </c>
      <c r="C12" s="6"/>
      <c r="D12" s="6"/>
    </row>
    <row r="13" spans="1:4" x14ac:dyDescent="0.45">
      <c r="C13" s="6"/>
      <c r="D13" s="6"/>
    </row>
    <row r="14" spans="1:4" x14ac:dyDescent="0.45">
      <c r="C14" s="6"/>
      <c r="D14" s="6"/>
    </row>
    <row r="15" spans="1:4" x14ac:dyDescent="0.45">
      <c r="C15" s="6"/>
      <c r="D15" s="6"/>
    </row>
    <row r="16" spans="1:4" x14ac:dyDescent="0.45">
      <c r="C16" s="6"/>
      <c r="D16" s="6"/>
    </row>
    <row r="17" spans="3:4" x14ac:dyDescent="0.45">
      <c r="C17" s="6"/>
      <c r="D17" s="6"/>
    </row>
    <row r="18" spans="3:4" x14ac:dyDescent="0.45">
      <c r="C18" s="6"/>
      <c r="D18" s="6"/>
    </row>
    <row r="19" spans="3:4" x14ac:dyDescent="0.45">
      <c r="C19" s="6"/>
      <c r="D19" s="6"/>
    </row>
    <row r="20" spans="3:4" x14ac:dyDescent="0.45">
      <c r="C20" s="6"/>
      <c r="D20" s="6"/>
    </row>
    <row r="21" spans="3:4" x14ac:dyDescent="0.45">
      <c r="C21" s="6"/>
      <c r="D21" s="6"/>
    </row>
    <row r="22" spans="3:4" x14ac:dyDescent="0.45">
      <c r="C22" s="6"/>
      <c r="D22" s="6"/>
    </row>
    <row r="23" spans="3:4" x14ac:dyDescent="0.45">
      <c r="C23" s="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B12" sqref="B12"/>
    </sheetView>
  </sheetViews>
  <sheetFormatPr defaultRowHeight="14.25" x14ac:dyDescent="0.45"/>
  <cols>
    <col min="1" max="1" width="18.79687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>
        <v>1</v>
      </c>
      <c r="B2" s="4">
        <v>25.466000000000001</v>
      </c>
      <c r="C2" s="6"/>
      <c r="D2" s="4"/>
    </row>
    <row r="3" spans="1:4" x14ac:dyDescent="0.45">
      <c r="A3" s="5">
        <v>2</v>
      </c>
      <c r="B3" s="4">
        <v>34.002000000000002</v>
      </c>
      <c r="C3" s="6"/>
      <c r="D3" s="6"/>
    </row>
    <row r="4" spans="1:4" x14ac:dyDescent="0.45">
      <c r="A4" s="5">
        <v>3</v>
      </c>
      <c r="B4" s="4">
        <v>50.357999999999997</v>
      </c>
      <c r="C4" s="6"/>
      <c r="D4" s="6"/>
    </row>
    <row r="5" spans="1:4" x14ac:dyDescent="0.45">
      <c r="A5" s="5">
        <v>4</v>
      </c>
      <c r="B5" s="4">
        <v>36.895000000000003</v>
      </c>
      <c r="C5" s="6"/>
      <c r="D5" s="6"/>
    </row>
    <row r="6" spans="1:4" x14ac:dyDescent="0.45">
      <c r="A6" s="5">
        <v>5</v>
      </c>
      <c r="B6" s="4">
        <v>32.027000000000001</v>
      </c>
      <c r="C6" s="6"/>
      <c r="D6" s="6" t="s">
        <v>17</v>
      </c>
    </row>
    <row r="7" spans="1:4" x14ac:dyDescent="0.45">
      <c r="A7" s="5">
        <v>6</v>
      </c>
      <c r="B7" s="4">
        <v>27.058</v>
      </c>
      <c r="C7" s="6"/>
      <c r="D7" s="6"/>
    </row>
    <row r="8" spans="1:4" x14ac:dyDescent="0.45">
      <c r="A8" s="5">
        <v>7</v>
      </c>
      <c r="B8" s="4">
        <v>29.891999999999999</v>
      </c>
      <c r="C8" s="6"/>
      <c r="D8" s="6"/>
    </row>
    <row r="9" spans="1:4" x14ac:dyDescent="0.45">
      <c r="A9" s="5">
        <v>8</v>
      </c>
      <c r="B9" s="4">
        <v>39.478000000000002</v>
      </c>
      <c r="C9" s="6"/>
      <c r="D9" s="6"/>
    </row>
    <row r="10" spans="1:4" x14ac:dyDescent="0.45">
      <c r="A10" s="1" t="s">
        <v>3</v>
      </c>
      <c r="B10" s="4">
        <v>8</v>
      </c>
      <c r="C10" s="6"/>
      <c r="D10" s="6"/>
    </row>
    <row r="11" spans="1:4" x14ac:dyDescent="0.45">
      <c r="A11" s="1" t="s">
        <v>4</v>
      </c>
      <c r="B11" s="7">
        <f>AVERAGE(B2:B9)</f>
        <v>34.396999999999998</v>
      </c>
      <c r="C11" s="6"/>
      <c r="D11" s="6"/>
    </row>
    <row r="12" spans="1:4" x14ac:dyDescent="0.45">
      <c r="B12">
        <f>SUM(B2:B9)</f>
        <v>275.17599999999999</v>
      </c>
      <c r="C12" s="6"/>
      <c r="D12" s="6"/>
    </row>
    <row r="13" spans="1:4" x14ac:dyDescent="0.45">
      <c r="C13" s="6"/>
      <c r="D13" s="6"/>
    </row>
    <row r="14" spans="1:4" x14ac:dyDescent="0.45">
      <c r="C14" s="6"/>
      <c r="D14" s="6"/>
    </row>
    <row r="15" spans="1:4" x14ac:dyDescent="0.45">
      <c r="C15" s="6"/>
      <c r="D15" s="6"/>
    </row>
    <row r="16" spans="1:4" x14ac:dyDescent="0.45">
      <c r="C16" s="6"/>
      <c r="D16" s="6"/>
    </row>
    <row r="17" spans="3:4" x14ac:dyDescent="0.45">
      <c r="C17" s="6"/>
      <c r="D17" s="6"/>
    </row>
    <row r="18" spans="3:4" x14ac:dyDescent="0.45">
      <c r="C18" s="6"/>
      <c r="D18" s="6"/>
    </row>
    <row r="19" spans="3:4" x14ac:dyDescent="0.45">
      <c r="C19" s="6"/>
      <c r="D19" s="6"/>
    </row>
    <row r="20" spans="3:4" x14ac:dyDescent="0.45">
      <c r="C20" s="6"/>
      <c r="D20" s="6"/>
    </row>
    <row r="21" spans="3:4" x14ac:dyDescent="0.45">
      <c r="C21" s="6"/>
      <c r="D21" s="6"/>
    </row>
    <row r="22" spans="3:4" x14ac:dyDescent="0.45">
      <c r="C22" s="6"/>
      <c r="D22" s="6"/>
    </row>
    <row r="23" spans="3:4" x14ac:dyDescent="0.45">
      <c r="C23" s="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6" sqref="D6"/>
    </sheetView>
  </sheetViews>
  <sheetFormatPr defaultRowHeight="14.25" x14ac:dyDescent="0.45"/>
  <cols>
    <col min="1" max="1" width="18.265625" customWidth="1"/>
  </cols>
  <sheetData>
    <row r="1" spans="1:4" x14ac:dyDescent="0.45">
      <c r="A1" s="2" t="s">
        <v>0</v>
      </c>
      <c r="B1" s="8" t="s">
        <v>1</v>
      </c>
      <c r="C1" s="3"/>
      <c r="D1" s="8" t="s">
        <v>2</v>
      </c>
    </row>
    <row r="2" spans="1:4" x14ac:dyDescent="0.45">
      <c r="A2" s="5"/>
      <c r="B2" s="4"/>
      <c r="C2" s="6"/>
      <c r="D2" s="4"/>
    </row>
    <row r="3" spans="1:4" x14ac:dyDescent="0.45">
      <c r="A3" s="5"/>
      <c r="B3" s="4"/>
      <c r="C3" s="6"/>
      <c r="D3" s="6"/>
    </row>
    <row r="4" spans="1:4" x14ac:dyDescent="0.45">
      <c r="A4" s="5"/>
      <c r="B4" s="4"/>
      <c r="C4" s="6"/>
      <c r="D4" s="6"/>
    </row>
    <row r="5" spans="1:4" x14ac:dyDescent="0.45">
      <c r="A5" s="5"/>
      <c r="B5" s="4"/>
      <c r="C5" s="6"/>
      <c r="D5" s="6"/>
    </row>
    <row r="6" spans="1:4" x14ac:dyDescent="0.45">
      <c r="A6" s="5"/>
      <c r="B6" s="4"/>
      <c r="C6" s="6"/>
      <c r="D6" s="6" t="s">
        <v>19</v>
      </c>
    </row>
    <row r="7" spans="1:4" x14ac:dyDescent="0.45">
      <c r="A7" s="5"/>
      <c r="B7" s="4"/>
      <c r="C7" s="6"/>
      <c r="D7" s="6"/>
    </row>
    <row r="8" spans="1:4" x14ac:dyDescent="0.45">
      <c r="A8" s="5"/>
      <c r="B8" s="4"/>
      <c r="C8" s="6"/>
      <c r="D8" s="6"/>
    </row>
    <row r="9" spans="1:4" x14ac:dyDescent="0.45">
      <c r="A9" s="5"/>
      <c r="B9" s="4"/>
      <c r="C9" s="6"/>
      <c r="D9" s="6"/>
    </row>
    <row r="10" spans="1:4" x14ac:dyDescent="0.45">
      <c r="A10" s="5"/>
      <c r="B10" s="4"/>
      <c r="C10" s="6"/>
      <c r="D10" s="6"/>
    </row>
    <row r="11" spans="1:4" x14ac:dyDescent="0.45">
      <c r="A11" s="5"/>
      <c r="B11" s="4"/>
      <c r="C11" s="6"/>
      <c r="D11" s="6"/>
    </row>
    <row r="12" spans="1:4" x14ac:dyDescent="0.45">
      <c r="A12" s="5"/>
      <c r="B12" s="4"/>
      <c r="C12" s="6"/>
      <c r="D12" s="6"/>
    </row>
    <row r="13" spans="1:4" x14ac:dyDescent="0.45">
      <c r="A13" s="5"/>
      <c r="B13" s="4"/>
      <c r="C13" s="6"/>
      <c r="D13" s="6"/>
    </row>
    <row r="14" spans="1:4" x14ac:dyDescent="0.45">
      <c r="A14" s="5"/>
      <c r="B14" s="4"/>
      <c r="C14" s="6"/>
      <c r="D14" s="6"/>
    </row>
    <row r="15" spans="1:4" x14ac:dyDescent="0.45">
      <c r="A15" s="5"/>
      <c r="B15" s="4"/>
      <c r="C15" s="6"/>
      <c r="D15" s="6"/>
    </row>
    <row r="16" spans="1:4" x14ac:dyDescent="0.45">
      <c r="A16" s="5"/>
      <c r="B16" s="4"/>
      <c r="C16" s="6"/>
      <c r="D16" s="6"/>
    </row>
    <row r="17" spans="1:4" x14ac:dyDescent="0.45">
      <c r="A17" s="5"/>
      <c r="B17" s="4"/>
      <c r="C17" s="6"/>
      <c r="D17" s="6"/>
    </row>
    <row r="18" spans="1:4" x14ac:dyDescent="0.45">
      <c r="A18" s="5"/>
      <c r="B18" s="4"/>
      <c r="C18" s="6"/>
      <c r="D18" s="6"/>
    </row>
    <row r="19" spans="1:4" x14ac:dyDescent="0.45">
      <c r="A19" s="5"/>
      <c r="B19" s="4"/>
      <c r="C19" s="6"/>
      <c r="D19" s="6"/>
    </row>
    <row r="20" spans="1:4" x14ac:dyDescent="0.45">
      <c r="A20" s="5"/>
      <c r="B20" s="4"/>
      <c r="C20" s="6"/>
      <c r="D20" s="6"/>
    </row>
    <row r="21" spans="1:4" x14ac:dyDescent="0.45">
      <c r="A21" s="5"/>
      <c r="B21" s="4"/>
      <c r="C21" s="6"/>
      <c r="D21" s="6"/>
    </row>
    <row r="22" spans="1:4" x14ac:dyDescent="0.45">
      <c r="A22" s="5"/>
      <c r="B22" s="4"/>
      <c r="C22" s="6"/>
      <c r="D22" s="6"/>
    </row>
    <row r="23" spans="1:4" x14ac:dyDescent="0.45">
      <c r="A23" s="1" t="s">
        <v>3</v>
      </c>
      <c r="B23" s="4"/>
      <c r="C23" s="6"/>
    </row>
    <row r="24" spans="1:4" x14ac:dyDescent="0.45">
      <c r="A24" s="1" t="s">
        <v>4</v>
      </c>
      <c r="B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0_2</vt:lpstr>
      <vt:lpstr>4_31</vt:lpstr>
      <vt:lpstr>6_6</vt:lpstr>
      <vt:lpstr>6_14</vt:lpstr>
      <vt:lpstr>6_17</vt:lpstr>
      <vt:lpstr>7_11</vt:lpstr>
      <vt:lpstr>7_27</vt:lpstr>
      <vt:lpstr>8_15</vt:lpstr>
      <vt:lpstr>9_3</vt:lpstr>
      <vt:lpstr>9_18</vt:lpstr>
      <vt:lpstr>9_29</vt:lpstr>
      <vt:lpstr>12_32</vt:lpstr>
      <vt:lpstr>15_12</vt:lpstr>
      <vt:lpstr>15_19</vt:lpstr>
      <vt:lpstr>15_25</vt:lpstr>
      <vt:lpstr>16_4</vt:lpstr>
      <vt:lpstr>17_7</vt:lpstr>
      <vt:lpstr>18_21</vt:lpstr>
      <vt:lpstr>18_26</vt:lpstr>
      <vt:lpstr>20_16</vt:lpstr>
      <vt:lpstr>21_1</vt:lpstr>
      <vt:lpstr>21_8</vt:lpstr>
      <vt:lpstr>22_23</vt:lpstr>
      <vt:lpstr>24_30</vt:lpstr>
      <vt:lpstr>26_10</vt:lpstr>
      <vt:lpstr>29_13</vt:lpstr>
      <vt:lpstr>29_22</vt:lpstr>
      <vt:lpstr>29_24</vt:lpstr>
      <vt:lpstr>29_28</vt:lpstr>
      <vt:lpstr>31_5</vt:lpstr>
      <vt:lpstr>31_9</vt:lpstr>
      <vt:lpstr>31_20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</dc:creator>
  <cp:lastModifiedBy>Jill</cp:lastModifiedBy>
  <dcterms:created xsi:type="dcterms:W3CDTF">2017-02-17T08:56:58Z</dcterms:created>
  <dcterms:modified xsi:type="dcterms:W3CDTF">2017-02-24T15:08:07Z</dcterms:modified>
</cp:coreProperties>
</file>